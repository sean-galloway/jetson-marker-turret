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mbal BOM (bolt-together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<sst xmlns="http://schemas.openxmlformats.org/spreadsheetml/2006/main" count="117" uniqueCount="92">
  <si>
    <t xml:space="preserve">Gimbal — Bolt-Together BOM</t>
  </si>
  <si>
    <t xml:space="preserve">No machining. BUY = catalog part · CUT(DXF) = flat plate from SendCutSend · HAVE = you own it. Plates use clearance holes + nuts (no tapping) and no precision pilots (camera corrects centering).</t>
  </si>
  <si>
    <t xml:space="preserve">#</t>
  </si>
  <si>
    <t xml:space="preserve">Item</t>
  </si>
  <si>
    <t xml:space="preserve">Spec</t>
  </si>
  <si>
    <t xml:space="preserve">P/N or Source</t>
  </si>
  <si>
    <t xml:space="preserve">Qty</t>
  </si>
  <si>
    <t xml:space="preserve">Unit $</t>
  </si>
  <si>
    <t xml:space="preserve">Line $</t>
  </si>
  <si>
    <t xml:space="preserve">Process</t>
  </si>
  <si>
    <t xml:space="preserve">Notes</t>
  </si>
  <si>
    <t xml:space="preserve">A.  BUY — CATALOG PARTS</t>
  </si>
  <si>
    <t xml:space="preserve">Motor + driver kit</t>
  </si>
  <si>
    <t xml:space="preserve">NEMA 23 closed-loop 3.0 N·m + CL57T V4.1</t>
  </si>
  <si>
    <t xml:space="preserve">23HS45-4204D-E1000 / Amazon B0C6943QBM</t>
  </si>
  <si>
    <t xml:space="preserve">Buy</t>
  </si>
  <si>
    <t xml:space="preserve">Confirmed</t>
  </si>
  <si>
    <t xml:space="preserve">Planetary gearbox 5:1</t>
  </si>
  <si>
    <t xml:space="preserve">NEMA 23, Ø8 bore, 15 arcmin; out Ø14 / Ø40 reg / 4×Ø5.2@47.14</t>
  </si>
  <si>
    <t xml:space="preserve">Ratio 5:1 Nema 23 … φ8mm</t>
  </si>
  <si>
    <t xml:space="preserve">Turntable bearing (lazy susan)</t>
  </si>
  <si>
    <t xml:space="preserve">Heavy-duty steel/alu, OPEN center, 6–8 in</t>
  </si>
  <si>
    <t xml:space="preserve">Search "turntable bearing" / "lazy susan bearing" · McMaster: Ball Bearing Turntables</t>
  </si>
  <si>
    <t xml:space="preserve">Buy (est.)</t>
  </si>
  <si>
    <t xml:space="preserve">Open center passes pan shaft; match bolt circle to plates 02/03</t>
  </si>
  <si>
    <t xml:space="preserve">Mounted ball bearing (tilt)</t>
  </si>
  <si>
    <t xml:space="preserve">McMaster 5968K71 · 1/2in bore, 2-bolt flange, set-screw, sealed (SKF)</t>
  </si>
  <si>
    <t xml:space="preserve">McMaster 5968K71</t>
  </si>
  <si>
    <t xml:space="preserve">CONFIRMED. Pairs with 1/2in shoulder screw (#6); match flange pattern to plate 05</t>
  </si>
  <si>
    <t xml:space="preserve">Mounting hub</t>
  </si>
  <si>
    <t xml:space="preserve">Ruland FHT-MCL-14-SS · 14mm face-mount collar, threaded face holes</t>
  </si>
  <si>
    <t xml:space="preserve">Ruland FHT-MCL-14-SS</t>
  </si>
  <si>
    <t xml:space="preserve">CONFIRMED. Clamps each gearbox Ø14 output; face-bolts pan→plate 03, tilt→plate 01; 2-hole Ø22 pattern</t>
  </si>
  <si>
    <t xml:space="preserve">Shoulder screw (tilt pin)</t>
  </si>
  <si>
    <t xml:space="preserve">Shoulder Ø = #4 bearing bore (e.g. 1/2")</t>
  </si>
  <si>
    <t xml:space="preserve">McMaster: "shoulder screw"</t>
  </si>
  <si>
    <t xml:space="preserve">Far end of tilt axis; pairs with #4</t>
  </si>
  <si>
    <t xml:space="preserve">L-brackets / gussets</t>
  </si>
  <si>
    <t xml:space="preserve">Join yoke side-plates to turntable + stiffen</t>
  </si>
  <si>
    <t xml:space="preserve">8020 / McMaster</t>
  </si>
  <si>
    <t xml:space="preserve">Bolt-together corners</t>
  </si>
  <si>
    <t xml:space="preserve">Standoffs</t>
  </si>
  <si>
    <t xml:space="preserve">M5, raise base plate over tripod adapter</t>
  </si>
  <si>
    <t xml:space="preserve">McMaster</t>
  </si>
  <si>
    <t xml:space="preserve">Length = motor/gbx clearance</t>
  </si>
  <si>
    <t xml:space="preserve">Pico RP2040</t>
  </si>
  <si>
    <t xml:space="preserve">Motion coprocessor (step/dir)</t>
  </si>
  <si>
    <t xml:space="preserve">Raspberry Pi Pico</t>
  </si>
  <si>
    <t xml:space="preserve">Drives both CL57T</t>
  </si>
  <si>
    <t xml:space="preserve">Power supply 24–48 V</t>
  </si>
  <si>
    <t xml:space="preserve">48 V, 5–10 A</t>
  </si>
  <si>
    <t xml:space="preserve">select</t>
  </si>
  <si>
    <t xml:space="preserve">Sizes 2 motors</t>
  </si>
  <si>
    <t xml:space="preserve">Fasteners + NUTS</t>
  </si>
  <si>
    <t xml:space="preserve">M5/M6/M3 SHCS, nuts, washers (clearance-hole build)</t>
  </si>
  <si>
    <t xml:space="preserve">McMaster / assorted</t>
  </si>
  <si>
    <t xml:space="preserve">Nuts replace tapping</t>
  </si>
  <si>
    <t xml:space="preserve">Dowel pins</t>
  </si>
  <si>
    <t xml:space="preserve">Ø4 mm (PA-4 interface)</t>
  </si>
  <si>
    <t xml:space="preserve">Reamed-fit</t>
  </si>
  <si>
    <t xml:space="preserve">Consumables</t>
  </si>
  <si>
    <t xml:space="preserve">Threadlocker (medium) + anti-seize</t>
  </si>
  <si>
    <t xml:space="preserve">—</t>
  </si>
  <si>
    <t xml:space="preserve">B.  CUT — DXF FLAT PLATES (6061-T6; files supplied; one SendCutSend order)</t>
  </si>
  <si>
    <t xml:space="preserve">Pan base plate</t>
  </si>
  <si>
    <t xml:space="preserve">6 mm; file 02_base_plate_pan.dxf</t>
  </si>
  <si>
    <t xml:space="preserve">DXF</t>
  </si>
  <si>
    <t xml:space="preserve">Cut (DXF)</t>
  </si>
  <si>
    <t xml:space="preserve">Gearbox + slew bearing + standoffs</t>
  </si>
  <si>
    <t xml:space="preserve">Turntable plate</t>
  </si>
  <si>
    <t xml:space="preserve">6 mm; file 03_turntable_plate.dxf</t>
  </si>
  <si>
    <t xml:space="preserve">Slew bearing + yoke feet</t>
  </si>
  <si>
    <t xml:space="preserve">Yoke side — gearbox</t>
  </si>
  <si>
    <t xml:space="preserve">6 mm; file 04_yoke_side_gearbox.dxf</t>
  </si>
  <si>
    <t xml:space="preserve">Gearbox flange</t>
  </si>
  <si>
    <t xml:space="preserve">Yoke side — trunnion</t>
  </si>
  <si>
    <t xml:space="preserve">6 mm; file 05_yoke_side_trunnion.dxf</t>
  </si>
  <si>
    <t xml:space="preserve">Pillow-block bearing</t>
  </si>
  <si>
    <t xml:space="preserve">Interface plate (PA-4)</t>
  </si>
  <si>
    <t xml:space="preserve">6 mm; file 01_interface_plate_PA4.dxf</t>
  </si>
  <si>
    <t xml:space="preserve">Payload mount (Ø70 BC/dowels/Ø14)</t>
  </si>
  <si>
    <t xml:space="preserve">Tripod adapter</t>
  </si>
  <si>
    <t xml:space="preserve">6 mm; file 06_tripod_adapter.dxf</t>
  </si>
  <si>
    <t xml:space="preserve">Mates your tripod head</t>
  </si>
  <si>
    <t xml:space="preserve">C.  HAVE</t>
  </si>
  <si>
    <t xml:space="preserve">Tripod</t>
  </si>
  <si>
    <t xml:space="preserve">35 lb (you own)</t>
  </si>
  <si>
    <t xml:space="preserve">Have</t>
  </si>
  <si>
    <t xml:space="preserve">Watch flex under fast slews; confirm bowl</t>
  </si>
  <si>
    <t xml:space="preserve">Total (priced):</t>
  </si>
  <si>
    <t xml:space="preserve">Buy (A):</t>
  </si>
  <si>
    <t xml:space="preserve">DXF plates (B):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</si>
</sst>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2222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FD6E4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D6E4"/>
      </left>
      <right style="thin">
        <color rgb="FFCFD6E4"/>
      </right>
      <top style="thin">
        <color rgb="FFCFD6E4"/>
      </top>
      <bottom style="thin">
        <color rgb="FFCFD6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D9E1F2"/>
      <rgbColor rgb="FF660066"/>
      <rgbColor rgb="FFFF8080"/>
      <rgbColor rgb="FF0066CC"/>
      <rgbColor rgb="FFCFD6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5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5" t="s">
        <v>11</v>
      </c>
      <c r="B5" s="5"/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6" t="n">
        <v>1</v>
      </c>
      <c r="B6" s="7" t="s">
        <v>12</v>
      </c>
      <c r="C6" s="8" t="s">
        <v>13</v>
      </c>
      <c r="D6" s="7" t="s">
        <v>14</v>
      </c>
      <c r="E6" s="6" t="n">
        <v>2</v>
      </c>
      <c r="F6" s="9" t="n">
        <v>85.99</v>
      </c>
      <c r="G6" s="9" t="n">
        <f aca="false">IF(F6="","",E6*F6)</f>
        <v>171.98</v>
      </c>
      <c r="H6" s="10" t="s">
        <v>15</v>
      </c>
      <c r="I6" s="8" t="s">
        <v>16</v>
      </c>
    </row>
    <row r="7" customFormat="false" ht="23.85" hidden="false" customHeight="false" outlineLevel="0" collapsed="false">
      <c r="A7" s="6" t="n">
        <v>2</v>
      </c>
      <c r="B7" s="7" t="s">
        <v>17</v>
      </c>
      <c r="C7" s="8" t="s">
        <v>18</v>
      </c>
      <c r="D7" s="7" t="s">
        <v>19</v>
      </c>
      <c r="E7" s="6" t="n">
        <v>2</v>
      </c>
      <c r="F7" s="9" t="n">
        <v>57.99</v>
      </c>
      <c r="G7" s="9" t="n">
        <f aca="false">IF(F7="","",E7*F7)</f>
        <v>115.98</v>
      </c>
      <c r="H7" s="10" t="s">
        <v>15</v>
      </c>
      <c r="I7" s="8" t="s">
        <v>16</v>
      </c>
    </row>
    <row r="8" customFormat="false" ht="23.85" hidden="false" customHeight="false" outlineLevel="0" collapsed="false">
      <c r="A8" s="6" t="n">
        <v>3</v>
      </c>
      <c r="B8" s="7" t="s">
        <v>20</v>
      </c>
      <c r="C8" s="8" t="s">
        <v>21</v>
      </c>
      <c r="D8" s="7" t="s">
        <v>22</v>
      </c>
      <c r="E8" s="6" t="n">
        <v>1</v>
      </c>
      <c r="F8" s="9" t="n">
        <v>20</v>
      </c>
      <c r="G8" s="9" t="n">
        <f aca="false">IF(F8="","",E8*F8)</f>
        <v>20</v>
      </c>
      <c r="H8" s="10" t="s">
        <v>23</v>
      </c>
      <c r="I8" s="8" t="s">
        <v>24</v>
      </c>
    </row>
    <row r="9" customFormat="false" ht="23.85" hidden="false" customHeight="false" outlineLevel="0" collapsed="false">
      <c r="A9" s="6" t="n">
        <v>4</v>
      </c>
      <c r="B9" s="7" t="s">
        <v>25</v>
      </c>
      <c r="C9" s="8" t="s">
        <v>26</v>
      </c>
      <c r="D9" s="7" t="s">
        <v>27</v>
      </c>
      <c r="E9" s="6" t="n">
        <v>1</v>
      </c>
      <c r="F9" s="9" t="n">
        <v>52.38</v>
      </c>
      <c r="G9" s="9" t="n">
        <f aca="false">IF(F9="","",E9*F9)</f>
        <v>52.38</v>
      </c>
      <c r="H9" s="10" t="s">
        <v>15</v>
      </c>
      <c r="I9" s="8" t="s">
        <v>28</v>
      </c>
    </row>
    <row r="10" customFormat="false" ht="35.05" hidden="false" customHeight="false" outlineLevel="0" collapsed="false">
      <c r="A10" s="6" t="n">
        <v>5</v>
      </c>
      <c r="B10" s="7" t="s">
        <v>29</v>
      </c>
      <c r="C10" s="8" t="s">
        <v>30</v>
      </c>
      <c r="D10" s="7" t="s">
        <v>31</v>
      </c>
      <c r="E10" s="6" t="n">
        <v>2</v>
      </c>
      <c r="F10" s="9" t="n">
        <v>30</v>
      </c>
      <c r="G10" s="9" t="n">
        <f aca="false">IF(F10="","",E10*F10)</f>
        <v>60</v>
      </c>
      <c r="H10" s="10" t="s">
        <v>15</v>
      </c>
      <c r="I10" s="8" t="s">
        <v>32</v>
      </c>
    </row>
    <row r="11" customFormat="false" ht="15" hidden="false" customHeight="false" outlineLevel="0" collapsed="false">
      <c r="A11" s="6" t="n">
        <v>6</v>
      </c>
      <c r="B11" s="7" t="s">
        <v>33</v>
      </c>
      <c r="C11" s="8" t="s">
        <v>34</v>
      </c>
      <c r="D11" s="7" t="s">
        <v>35</v>
      </c>
      <c r="E11" s="6" t="n">
        <v>1</v>
      </c>
      <c r="F11" s="9" t="n">
        <v>8</v>
      </c>
      <c r="G11" s="9" t="n">
        <f aca="false">IF(F11="","",E11*F11)</f>
        <v>8</v>
      </c>
      <c r="H11" s="10" t="s">
        <v>23</v>
      </c>
      <c r="I11" s="8" t="s">
        <v>36</v>
      </c>
    </row>
    <row r="12" customFormat="false" ht="15" hidden="false" customHeight="false" outlineLevel="0" collapsed="false">
      <c r="A12" s="6" t="n">
        <v>7</v>
      </c>
      <c r="B12" s="7" t="s">
        <v>37</v>
      </c>
      <c r="C12" s="8" t="s">
        <v>38</v>
      </c>
      <c r="D12" s="7" t="s">
        <v>39</v>
      </c>
      <c r="E12" s="6" t="n">
        <v>8</v>
      </c>
      <c r="F12" s="9" t="n">
        <v>4</v>
      </c>
      <c r="G12" s="9" t="n">
        <f aca="false">IF(F12="","",E12*F12)</f>
        <v>32</v>
      </c>
      <c r="H12" s="10" t="s">
        <v>23</v>
      </c>
      <c r="I12" s="8" t="s">
        <v>40</v>
      </c>
    </row>
    <row r="13" customFormat="false" ht="15" hidden="false" customHeight="false" outlineLevel="0" collapsed="false">
      <c r="A13" s="6" t="n">
        <v>8</v>
      </c>
      <c r="B13" s="7" t="s">
        <v>41</v>
      </c>
      <c r="C13" s="8" t="s">
        <v>42</v>
      </c>
      <c r="D13" s="7" t="s">
        <v>43</v>
      </c>
      <c r="E13" s="6" t="n">
        <v>4</v>
      </c>
      <c r="F13" s="9" t="n">
        <v>3</v>
      </c>
      <c r="G13" s="9" t="n">
        <f aca="false">IF(F13="","",E13*F13)</f>
        <v>12</v>
      </c>
      <c r="H13" s="10" t="s">
        <v>23</v>
      </c>
      <c r="I13" s="8" t="s">
        <v>44</v>
      </c>
    </row>
    <row r="14" customFormat="false" ht="15" hidden="false" customHeight="false" outlineLevel="0" collapsed="false">
      <c r="A14" s="6" t="n">
        <v>9</v>
      </c>
      <c r="B14" s="7" t="s">
        <v>45</v>
      </c>
      <c r="C14" s="8" t="s">
        <v>46</v>
      </c>
      <c r="D14" s="7" t="s">
        <v>47</v>
      </c>
      <c r="E14" s="6" t="n">
        <v>1</v>
      </c>
      <c r="F14" s="9" t="n">
        <v>5</v>
      </c>
      <c r="G14" s="9" t="n">
        <f aca="false">IF(F14="","",E14*F14)</f>
        <v>5</v>
      </c>
      <c r="H14" s="10" t="s">
        <v>15</v>
      </c>
      <c r="I14" s="8" t="s">
        <v>48</v>
      </c>
    </row>
    <row r="15" customFormat="false" ht="15" hidden="false" customHeight="false" outlineLevel="0" collapsed="false">
      <c r="A15" s="6" t="n">
        <v>10</v>
      </c>
      <c r="B15" s="7" t="s">
        <v>49</v>
      </c>
      <c r="C15" s="8" t="s">
        <v>50</v>
      </c>
      <c r="D15" s="7" t="s">
        <v>51</v>
      </c>
      <c r="E15" s="6" t="n">
        <v>1</v>
      </c>
      <c r="F15" s="9" t="n">
        <v>40</v>
      </c>
      <c r="G15" s="9" t="n">
        <f aca="false">IF(F15="","",E15*F15)</f>
        <v>40</v>
      </c>
      <c r="H15" s="10" t="s">
        <v>23</v>
      </c>
      <c r="I15" s="8" t="s">
        <v>52</v>
      </c>
    </row>
    <row r="16" customFormat="false" ht="15" hidden="false" customHeight="false" outlineLevel="0" collapsed="false">
      <c r="A16" s="6" t="n">
        <v>11</v>
      </c>
      <c r="B16" s="7" t="s">
        <v>53</v>
      </c>
      <c r="C16" s="8" t="s">
        <v>54</v>
      </c>
      <c r="D16" s="7" t="s">
        <v>55</v>
      </c>
      <c r="E16" s="6" t="n">
        <v>1</v>
      </c>
      <c r="F16" s="9" t="n">
        <v>35</v>
      </c>
      <c r="G16" s="9" t="n">
        <f aca="false">IF(F16="","",E16*F16)</f>
        <v>35</v>
      </c>
      <c r="H16" s="10" t="s">
        <v>23</v>
      </c>
      <c r="I16" s="8" t="s">
        <v>56</v>
      </c>
    </row>
    <row r="17" customFormat="false" ht="15" hidden="false" customHeight="false" outlineLevel="0" collapsed="false">
      <c r="A17" s="6" t="n">
        <v>12</v>
      </c>
      <c r="B17" s="7" t="s">
        <v>57</v>
      </c>
      <c r="C17" s="8" t="s">
        <v>58</v>
      </c>
      <c r="D17" s="7" t="s">
        <v>43</v>
      </c>
      <c r="E17" s="6" t="n">
        <v>1</v>
      </c>
      <c r="F17" s="9" t="n">
        <v>8</v>
      </c>
      <c r="G17" s="9" t="n">
        <f aca="false">IF(F17="","",E17*F17)</f>
        <v>8</v>
      </c>
      <c r="H17" s="10" t="s">
        <v>23</v>
      </c>
      <c r="I17" s="8" t="s">
        <v>59</v>
      </c>
    </row>
    <row r="18" customFormat="false" ht="15" hidden="false" customHeight="false" outlineLevel="0" collapsed="false">
      <c r="A18" s="6" t="n">
        <v>13</v>
      </c>
      <c r="B18" s="7" t="s">
        <v>60</v>
      </c>
      <c r="C18" s="8" t="s">
        <v>61</v>
      </c>
      <c r="D18" s="7" t="s">
        <v>62</v>
      </c>
      <c r="E18" s="6" t="n">
        <v>1</v>
      </c>
      <c r="F18" s="9" t="n">
        <v>12</v>
      </c>
      <c r="G18" s="9" t="n">
        <f aca="false">IF(F18="","",E18*F18)</f>
        <v>12</v>
      </c>
      <c r="H18" s="10" t="s">
        <v>23</v>
      </c>
      <c r="I18" s="8" t="s">
        <v>62</v>
      </c>
    </row>
    <row r="19" customFormat="false" ht="15" hidden="false" customHeight="false" outlineLevel="0" collapsed="false">
      <c r="A19" s="5" t="s">
        <v>63</v>
      </c>
      <c r="B19" s="5"/>
      <c r="C19" s="5"/>
      <c r="D19" s="5"/>
      <c r="E19" s="5"/>
      <c r="F19" s="5"/>
      <c r="G19" s="5"/>
      <c r="H19" s="5"/>
      <c r="I19" s="5"/>
    </row>
    <row r="20" customFormat="false" ht="15" hidden="false" customHeight="false" outlineLevel="0" collapsed="false">
      <c r="A20" s="6" t="n">
        <v>14</v>
      </c>
      <c r="B20" s="7" t="s">
        <v>64</v>
      </c>
      <c r="C20" s="8" t="s">
        <v>65</v>
      </c>
      <c r="D20" s="7" t="s">
        <v>66</v>
      </c>
      <c r="E20" s="6" t="n">
        <v>1</v>
      </c>
      <c r="F20" s="9" t="n">
        <v>28</v>
      </c>
      <c r="G20" s="9" t="n">
        <f aca="false">IF(F20="","",E20*F20)</f>
        <v>28</v>
      </c>
      <c r="H20" s="11" t="s">
        <v>67</v>
      </c>
      <c r="I20" s="8" t="s">
        <v>68</v>
      </c>
    </row>
    <row r="21" customFormat="false" ht="15" hidden="false" customHeight="false" outlineLevel="0" collapsed="false">
      <c r="A21" s="6" t="n">
        <v>15</v>
      </c>
      <c r="B21" s="7" t="s">
        <v>69</v>
      </c>
      <c r="C21" s="8" t="s">
        <v>70</v>
      </c>
      <c r="D21" s="7" t="s">
        <v>66</v>
      </c>
      <c r="E21" s="6" t="n">
        <v>1</v>
      </c>
      <c r="F21" s="9" t="n">
        <v>28</v>
      </c>
      <c r="G21" s="9" t="n">
        <f aca="false">IF(F21="","",E21*F21)</f>
        <v>28</v>
      </c>
      <c r="H21" s="11" t="s">
        <v>67</v>
      </c>
      <c r="I21" s="8" t="s">
        <v>71</v>
      </c>
    </row>
    <row r="22" customFormat="false" ht="15" hidden="false" customHeight="false" outlineLevel="0" collapsed="false">
      <c r="A22" s="6" t="n">
        <v>16</v>
      </c>
      <c r="B22" s="7" t="s">
        <v>72</v>
      </c>
      <c r="C22" s="8" t="s">
        <v>73</v>
      </c>
      <c r="D22" s="7" t="s">
        <v>66</v>
      </c>
      <c r="E22" s="6" t="n">
        <v>1</v>
      </c>
      <c r="F22" s="9" t="n">
        <v>25</v>
      </c>
      <c r="G22" s="9" t="n">
        <f aca="false">IF(F22="","",E22*F22)</f>
        <v>25</v>
      </c>
      <c r="H22" s="11" t="s">
        <v>67</v>
      </c>
      <c r="I22" s="8" t="s">
        <v>74</v>
      </c>
    </row>
    <row r="23" customFormat="false" ht="15" hidden="false" customHeight="false" outlineLevel="0" collapsed="false">
      <c r="A23" s="6" t="n">
        <v>17</v>
      </c>
      <c r="B23" s="7" t="s">
        <v>75</v>
      </c>
      <c r="C23" s="8" t="s">
        <v>76</v>
      </c>
      <c r="D23" s="7" t="s">
        <v>66</v>
      </c>
      <c r="E23" s="6" t="n">
        <v>1</v>
      </c>
      <c r="F23" s="9" t="n">
        <v>25</v>
      </c>
      <c r="G23" s="9" t="n">
        <f aca="false">IF(F23="","",E23*F23)</f>
        <v>25</v>
      </c>
      <c r="H23" s="11" t="s">
        <v>67</v>
      </c>
      <c r="I23" s="8" t="s">
        <v>77</v>
      </c>
    </row>
    <row r="24" customFormat="false" ht="15" hidden="false" customHeight="false" outlineLevel="0" collapsed="false">
      <c r="A24" s="6" t="n">
        <v>18</v>
      </c>
      <c r="B24" s="7" t="s">
        <v>78</v>
      </c>
      <c r="C24" s="8" t="s">
        <v>79</v>
      </c>
      <c r="D24" s="7" t="s">
        <v>66</v>
      </c>
      <c r="E24" s="6" t="n">
        <v>1</v>
      </c>
      <c r="F24" s="9" t="n">
        <v>28</v>
      </c>
      <c r="G24" s="9" t="n">
        <f aca="false">IF(F24="","",E24*F24)</f>
        <v>28</v>
      </c>
      <c r="H24" s="11" t="s">
        <v>67</v>
      </c>
      <c r="I24" s="8" t="s">
        <v>80</v>
      </c>
    </row>
    <row r="25" customFormat="false" ht="15" hidden="false" customHeight="false" outlineLevel="0" collapsed="false">
      <c r="A25" s="6" t="n">
        <v>19</v>
      </c>
      <c r="B25" s="7" t="s">
        <v>81</v>
      </c>
      <c r="C25" s="8" t="s">
        <v>82</v>
      </c>
      <c r="D25" s="7" t="s">
        <v>66</v>
      </c>
      <c r="E25" s="6" t="n">
        <v>1</v>
      </c>
      <c r="F25" s="9" t="n">
        <v>25</v>
      </c>
      <c r="G25" s="9" t="n">
        <f aca="false">IF(F25="","",E25*F25)</f>
        <v>25</v>
      </c>
      <c r="H25" s="11" t="s">
        <v>67</v>
      </c>
      <c r="I25" s="8" t="s">
        <v>83</v>
      </c>
    </row>
    <row r="26" customFormat="false" ht="15" hidden="false" customHeight="false" outlineLevel="0" collapsed="false">
      <c r="A26" s="5" t="s">
        <v>84</v>
      </c>
      <c r="B26" s="5"/>
      <c r="C26" s="5"/>
      <c r="D26" s="5"/>
      <c r="E26" s="5"/>
      <c r="F26" s="5"/>
      <c r="G26" s="5"/>
      <c r="H26" s="5"/>
      <c r="I26" s="5"/>
    </row>
    <row r="27" customFormat="false" ht="15" hidden="false" customHeight="false" outlineLevel="0" collapsed="false">
      <c r="A27" s="6" t="n">
        <v>20</v>
      </c>
      <c r="B27" s="7" t="s">
        <v>85</v>
      </c>
      <c r="C27" s="8" t="s">
        <v>86</v>
      </c>
      <c r="D27" s="7" t="s">
        <v>62</v>
      </c>
      <c r="E27" s="6" t="n">
        <v>1</v>
      </c>
      <c r="F27" s="9" t="n">
        <v>0</v>
      </c>
      <c r="G27" s="9" t="n">
        <f aca="false">IF(F27="","",E27*F27)</f>
        <v>0</v>
      </c>
      <c r="H27" s="12" t="s">
        <v>87</v>
      </c>
      <c r="I27" s="8" t="s">
        <v>88</v>
      </c>
    </row>
    <row r="29" customFormat="false" ht="15" hidden="false" customHeight="false" outlineLevel="0" collapsed="false">
      <c r="F29" s="13" t="s">
        <v>89</v>
      </c>
      <c r="G29" s="14" t="n">
        <f aca="false">SUM(G5:G27)</f>
        <v>731.34</v>
      </c>
    </row>
    <row r="30" customFormat="false" ht="15" hidden="false" customHeight="false" outlineLevel="0" collapsed="false">
      <c r="F30" s="15" t="s">
        <v>90</v>
      </c>
      <c r="G30" s="16" t="n">
        <f aca="false">SUM(G6:G18)</f>
        <v>572.34</v>
      </c>
    </row>
    <row r="31" customFormat="false" ht="15" hidden="false" customHeight="false" outlineLevel="0" collapsed="false">
      <c r="F31" s="15" t="s">
        <v>91</v>
      </c>
      <c r="G31" s="16" t="n">
        <f aca="false">SUM(G20:G25)</f>
        <v>159</v>
      </c>
    </row>
  </sheetData>
  <mergeCells count="5">
    <mergeCell ref="A1:I1"/>
    <mergeCell ref="A2:I2"/>
    <mergeCell ref="A5:I5"/>
    <mergeCell ref="A19:I19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2026-06-17T11:18:05Z</dcterms:created>
  <dc:creator>openpyxl</dc:creator>
  <dc:description/>
  <dc:language>en-US</dc:language>
  <cp:lastModifiedBy/>
  <dcterms:modified xsi:type="dcterms:W3CDTF">2026-06-17T11:18:05Z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