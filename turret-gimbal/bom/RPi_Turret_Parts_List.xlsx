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 List" sheetId="1" state="visible" r:id="rId3"/>
    <sheet name="Integration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<sst xmlns="http://schemas.openxmlformats.org/spreadsheetml/2006/main" count="85" uniqueCount="70">
  <si>
    <t xml:space="preserve">Item</t>
  </si>
  <si>
    <t xml:space="preserve">Qty</t>
  </si>
  <si>
    <t xml:space="preserve">Unit Price (approx, USD)</t>
  </si>
  <si>
    <t xml:space="preserve">Ext. Price</t>
  </si>
  <si>
    <t xml:space="preserve">Interface</t>
  </si>
  <si>
    <t xml:space="preserve">Purpose / Notes</t>
  </si>
  <si>
    <t xml:space="preserve">COMPUTE</t>
  </si>
  <si>
    <t xml:space="preserve">Raspberry Pi 5 (8GB)</t>
  </si>
  <si>
    <t xml:space="preserve">—</t>
  </si>
  <si>
    <t xml:space="preserve">Main controller: runs inner control loop, drives both HATs, reads IMU + lidar. 4GB works; 8GB for headroom.</t>
  </si>
  <si>
    <t xml:space="preserve">Raspberry Pi 5 Active Cooler</t>
  </si>
  <si>
    <t xml:space="preserve">Pi5 throttles without active cooling. Cheap and essential.</t>
  </si>
  <si>
    <t xml:space="preserve">Official 27W USB-C PD supply (5.1V/5A)</t>
  </si>
  <si>
    <t xml:space="preserve">USB-C</t>
  </si>
  <si>
    <t xml:space="preserve">Pi5 needs the 5A supply to power stacked HATs/peripherals reliably.</t>
  </si>
  <si>
    <t xml:space="preserve">microSD card 64GB A2</t>
  </si>
  <si>
    <t xml:space="preserve">OS/boot. A USB SSD is an alternative; NVMe HAT conflicts with stacking the driver HATs.</t>
  </si>
  <si>
    <t xml:space="preserve">GIMBAL MOTOR DRIVE</t>
  </si>
  <si>
    <t xml:space="preserve">Motor driver HAT (Adafruit DC/Stepper, TB6612)</t>
  </si>
  <si>
    <t xml:space="preserve">I2C</t>
  </si>
  <si>
    <t xml:space="preserve">4x H-bridge w/ built-in flyback; drives pan+tilt (2 channels). VERIFY motor stall current; if &gt;1.2A/ch, step up to a Cytron/Pololu driver.</t>
  </si>
  <si>
    <t xml:space="preserve">Gimbal motor cables (matching plug, bare-wire end)</t>
  </si>
  <si>
    <t xml:space="preserve">HAT output -&gt; Vidpro motors. One per motor. You may already have these; non-destructive (controller stays unplugged).</t>
  </si>
  <si>
    <t xml:space="preserve">TRIGGER / SOLENOID DRIVE</t>
  </si>
  <si>
    <t xml:space="preserve">Solenoid driver HAT (Sequent 8-MOSFET, stackable)</t>
  </si>
  <si>
    <t xml:space="preserve">Solid-state, fast, rated for solenoids; stacks with the motor HAT. Set distinct I2C address via DIP switch.</t>
  </si>
  <si>
    <t xml:space="preserve">Push-pull solenoid (Makermotor PN00121, 12V, 10mm)</t>
  </si>
  <si>
    <t xml:space="preserve">Trigger actuator (the fast option). Omit if you go with a servo instead. Match stroke to trigger travel.</t>
  </si>
  <si>
    <t xml:space="preserve">Arming switch or relay (in 12V solenoid line)</t>
  </si>
  <si>
    <t xml:space="preserve">HARDWARE interlock: breaks solenoid power so it physically cannot fire unless armed. Not a software flag.</t>
  </si>
  <si>
    <t xml:space="preserve">IMU</t>
  </si>
  <si>
    <t xml:space="preserve">BNO085 9-DoF IMU breakout (Adafruit)</t>
  </si>
  <si>
    <t xml:space="preserve">Onboard fusion + bias tracking. Use 'game rotation vector' (accel+gyro only, NO magnetometer) — motors/solenoid wreck the mag.</t>
  </si>
  <si>
    <t xml:space="preserve">STEMMA QT / Qwiic cable</t>
  </si>
  <si>
    <t xml:space="preserve">IMU -&gt; Pi I2C bus (shared with HATs; distinct address). Mount IMU near rotation center to minimize lever-arm accel.</t>
  </si>
  <si>
    <t xml:space="preserve">LIDAR</t>
  </si>
  <si>
    <t xml:space="preserve">Benewake TF03 single-point lidar (100m)</t>
  </si>
  <si>
    <t xml:space="preserve">UART/I2C</t>
  </si>
  <si>
    <t xml:space="preserve">Bore-sighted rangefinder; sunlight-compensated, IP67, up to 1kHz. Co-align with the muzzle. Data may instead route to the Jetson.</t>
  </si>
  <si>
    <t xml:space="preserve">USB-to-TTL serial adapter (CP2102/FTDI)</t>
  </si>
  <si>
    <t xml:space="preserve">USB</t>
  </si>
  <si>
    <t xml:space="preserve">Clean way to read TF03 over UART without fighting the Pi's GPIO UART. (Skip if using I2C mode.)</t>
  </si>
  <si>
    <t xml:space="preserve">POWER (12V SIDE)</t>
  </si>
  <si>
    <t xml:space="preserve">12V DC power supply (&gt;=5A)</t>
  </si>
  <si>
    <t xml:space="preserve">Feeds motor HAT + solenoid HAT load side. Size for solenoid inrush + 2 motors. Can reuse the Vidpro 12V adapter if rated enough.</t>
  </si>
  <si>
    <t xml:space="preserve">Inline fuse holder + fuses</t>
  </si>
  <si>
    <t xml:space="preserve">Protect the 12V line against motor stall / solenoid fault. TIE ALL GROUNDS together (Pi, 12V supply, both HATs).</t>
  </si>
  <si>
    <t xml:space="preserve">WIRING / MECHANICAL</t>
  </si>
  <si>
    <t xml:space="preserve">GPIO stacking headers, 2x20 (tall)</t>
  </si>
  <si>
    <t xml:space="preserve">Stack the two HATs and keep GPIO/I2C accessible.</t>
  </si>
  <si>
    <t xml:space="preserve">Brass standoff / spacer kit (M2.5)</t>
  </si>
  <si>
    <t xml:space="preserve">Mount and space the stacked HATs and the Pi.</t>
  </si>
  <si>
    <t xml:space="preserve">Jumper wire assortment (DuPont M-F, M-M)</t>
  </si>
  <si>
    <t xml:space="preserve">Signal connections (IMU, lidar, arming switch).</t>
  </si>
  <si>
    <t xml:space="preserve">Hookup wire, 18-20 AWG</t>
  </si>
  <si>
    <t xml:space="preserve">Motor and solenoid power runs.</t>
  </si>
  <si>
    <t xml:space="preserve">Wire ferrules / crimp terminals</t>
  </si>
  <si>
    <t xml:space="preserve">Clean terminations into the HAT screw terminals.</t>
  </si>
  <si>
    <t xml:space="preserve">ESTIMATED TOTAL</t>
  </si>
  <si>
    <t xml:space="preserve">Integration &amp; wiring notes</t>
  </si>
  <si>
    <t xml:space="preserve">•  Power: one 5V/5A USB-C supply to the Pi; a separate 12V supply for the motor HAT and solenoid HAT load side. The HATs only SWITCH the 12V — never power motors/solenoid from the Pi rails.</t>
  </si>
  <si>
    <t xml:space="preserve">•  Common ground is mandatory: tie Pi GND, 12V supply GND, and both HAT grounds together, or signals float and behavior gets erratic.</t>
  </si>
  <si>
    <t xml:space="preserve">•  Stacking: both driver HATs are I2C and stackable. Use tall 2x20 stacking headers and set distinct I2C addresses (DIP/jumpers) so they don't collide.</t>
  </si>
  <si>
    <t xml:space="preserve">•  I2C bus is shared: motor HAT + solenoid HAT + BNO085 IMU all sit on the same SDA/SCL with different addresses. Tap I2C from the top of the stack or a Qwiic port for the IMU.</t>
  </si>
  <si>
    <t xml:space="preserve">•  Motor current: confirm the Vidpro motors' running and stall current before trusting the TB6612 (1.2A/ch, 3A peak). If stall exceeds that, move to a higher-current driver.</t>
  </si>
  <si>
    <t xml:space="preserve">•  Magnetometer OFF: with DC motors and a solenoid inches away, magnetic heading is unreliable. Run the BNO085 in accel+gyro fusion (game rotation vector) and let the camera be the absolute heading reference.</t>
  </si>
  <si>
    <t xml:space="preserve">•  Arming interlock: put the switch/relay in series with the 12V solenoid line. Open = the trigger physically cannot fire. This is the hardware safety on the firing path.</t>
  </si>
  <si>
    <t xml:space="preserve">•  Lidar routing: the TF03 range can read on the Pi (UART via the USB-TTL adapter, or I2C), but if aim/ballistics math lives on the Jetson, route it there instead. Bore-sight it to the muzzle.</t>
  </si>
  <si>
    <t xml:space="preserve">•  Fuse the 12V line near the supply to protect against a stalled motor or a solenoid fault.</t>
  </si>
  <si>
    <t xml:space="preserve">•  Prices are ballpark (USD) for budgeting, not quotes; the lidar is the dominant line item.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</si>
</sst>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6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/>
      <c r="C2" s="2"/>
      <c r="D2" s="2"/>
      <c r="E2" s="2"/>
      <c r="F2" s="2"/>
    </row>
    <row r="3" customFormat="false" ht="23.85" hidden="false" customHeight="false" outlineLevel="0" collapsed="false">
      <c r="A3" s="3" t="s">
        <v>7</v>
      </c>
      <c r="B3" s="4" t="n">
        <v>1</v>
      </c>
      <c r="C3" s="5" t="n">
        <v>80</v>
      </c>
      <c r="D3" s="6" t="n">
        <f aca="false">B3*C3</f>
        <v>80</v>
      </c>
      <c r="E3" s="4" t="s">
        <v>8</v>
      </c>
      <c r="F3" s="7" t="s">
        <v>9</v>
      </c>
    </row>
    <row r="4" customFormat="false" ht="15" hidden="false" customHeight="false" outlineLevel="0" collapsed="false">
      <c r="A4" s="3" t="s">
        <v>10</v>
      </c>
      <c r="B4" s="4" t="n">
        <v>1</v>
      </c>
      <c r="C4" s="5" t="n">
        <v>5</v>
      </c>
      <c r="D4" s="6" t="n">
        <f aca="false">B4*C4</f>
        <v>5</v>
      </c>
      <c r="E4" s="4" t="s">
        <v>8</v>
      </c>
      <c r="F4" s="7" t="s">
        <v>11</v>
      </c>
    </row>
    <row r="5" customFormat="false" ht="15" hidden="false" customHeight="false" outlineLevel="0" collapsed="false">
      <c r="A5" s="3" t="s">
        <v>12</v>
      </c>
      <c r="B5" s="4" t="n">
        <v>1</v>
      </c>
      <c r="C5" s="5" t="n">
        <v>12</v>
      </c>
      <c r="D5" s="6" t="n">
        <f aca="false">B5*C5</f>
        <v>12</v>
      </c>
      <c r="E5" s="4" t="s">
        <v>13</v>
      </c>
      <c r="F5" s="7" t="s">
        <v>14</v>
      </c>
    </row>
    <row r="6" customFormat="false" ht="23.85" hidden="false" customHeight="false" outlineLevel="0" collapsed="false">
      <c r="A6" s="3" t="s">
        <v>15</v>
      </c>
      <c r="B6" s="4" t="n">
        <v>1</v>
      </c>
      <c r="C6" s="5" t="n">
        <v>10</v>
      </c>
      <c r="D6" s="6" t="n">
        <f aca="false">B6*C6</f>
        <v>10</v>
      </c>
      <c r="E6" s="4" t="s">
        <v>8</v>
      </c>
      <c r="F6" s="7" t="s">
        <v>16</v>
      </c>
    </row>
    <row r="7" customFormat="false" ht="15" hidden="false" customHeight="false" outlineLevel="0" collapsed="false">
      <c r="A7" s="2" t="s">
        <v>17</v>
      </c>
      <c r="B7" s="2"/>
      <c r="C7" s="2"/>
      <c r="D7" s="2"/>
      <c r="E7" s="2"/>
      <c r="F7" s="2"/>
    </row>
    <row r="8" customFormat="false" ht="23.85" hidden="false" customHeight="false" outlineLevel="0" collapsed="false">
      <c r="A8" s="3" t="s">
        <v>18</v>
      </c>
      <c r="B8" s="4" t="n">
        <v>1</v>
      </c>
      <c r="C8" s="5" t="n">
        <v>23</v>
      </c>
      <c r="D8" s="6" t="n">
        <f aca="false">B8*C8</f>
        <v>23</v>
      </c>
      <c r="E8" s="4" t="s">
        <v>19</v>
      </c>
      <c r="F8" s="7" t="s">
        <v>20</v>
      </c>
    </row>
    <row r="9" customFormat="false" ht="23.85" hidden="false" customHeight="false" outlineLevel="0" collapsed="false">
      <c r="A9" s="3" t="s">
        <v>21</v>
      </c>
      <c r="B9" s="4" t="n">
        <v>2</v>
      </c>
      <c r="C9" s="5" t="n">
        <v>8</v>
      </c>
      <c r="D9" s="6" t="n">
        <f aca="false">B9*C9</f>
        <v>16</v>
      </c>
      <c r="E9" s="4" t="s">
        <v>8</v>
      </c>
      <c r="F9" s="7" t="s">
        <v>22</v>
      </c>
    </row>
    <row r="10" customFormat="false" ht="15" hidden="false" customHeight="false" outlineLevel="0" collapsed="false">
      <c r="A10" s="2" t="s">
        <v>23</v>
      </c>
      <c r="B10" s="2"/>
      <c r="C10" s="2"/>
      <c r="D10" s="2"/>
      <c r="E10" s="2"/>
      <c r="F10" s="2"/>
    </row>
    <row r="11" customFormat="false" ht="23.85" hidden="false" customHeight="false" outlineLevel="0" collapsed="false">
      <c r="A11" s="3" t="s">
        <v>24</v>
      </c>
      <c r="B11" s="4" t="n">
        <v>1</v>
      </c>
      <c r="C11" s="5" t="n">
        <v>45</v>
      </c>
      <c r="D11" s="6" t="n">
        <f aca="false">B11*C11</f>
        <v>45</v>
      </c>
      <c r="E11" s="4" t="s">
        <v>19</v>
      </c>
      <c r="F11" s="7" t="s">
        <v>25</v>
      </c>
    </row>
    <row r="12" customFormat="false" ht="23.85" hidden="false" customHeight="false" outlineLevel="0" collapsed="false">
      <c r="A12" s="3" t="s">
        <v>26</v>
      </c>
      <c r="B12" s="4" t="n">
        <v>1</v>
      </c>
      <c r="C12" s="5" t="n">
        <v>20</v>
      </c>
      <c r="D12" s="6" t="n">
        <f aca="false">B12*C12</f>
        <v>20</v>
      </c>
      <c r="E12" s="4" t="s">
        <v>8</v>
      </c>
      <c r="F12" s="7" t="s">
        <v>27</v>
      </c>
    </row>
    <row r="13" customFormat="false" ht="23.85" hidden="false" customHeight="false" outlineLevel="0" collapsed="false">
      <c r="A13" s="3" t="s">
        <v>28</v>
      </c>
      <c r="B13" s="4" t="n">
        <v>1</v>
      </c>
      <c r="C13" s="5" t="n">
        <v>8</v>
      </c>
      <c r="D13" s="6" t="n">
        <f aca="false">B13*C13</f>
        <v>8</v>
      </c>
      <c r="E13" s="4" t="s">
        <v>8</v>
      </c>
      <c r="F13" s="7" t="s">
        <v>29</v>
      </c>
    </row>
    <row r="14" customFormat="false" ht="15" hidden="false" customHeight="false" outlineLevel="0" collapsed="false">
      <c r="A14" s="2" t="s">
        <v>30</v>
      </c>
      <c r="B14" s="2"/>
      <c r="C14" s="2"/>
      <c r="D14" s="2"/>
      <c r="E14" s="2"/>
      <c r="F14" s="2"/>
    </row>
    <row r="15" customFormat="false" ht="23.85" hidden="false" customHeight="false" outlineLevel="0" collapsed="false">
      <c r="A15" s="3" t="s">
        <v>31</v>
      </c>
      <c r="B15" s="4" t="n">
        <v>1</v>
      </c>
      <c r="C15" s="5" t="n">
        <v>20</v>
      </c>
      <c r="D15" s="6" t="n">
        <f aca="false">B15*C15</f>
        <v>20</v>
      </c>
      <c r="E15" s="4" t="s">
        <v>19</v>
      </c>
      <c r="F15" s="7" t="s">
        <v>32</v>
      </c>
    </row>
    <row r="16" customFormat="false" ht="23.85" hidden="false" customHeight="false" outlineLevel="0" collapsed="false">
      <c r="A16" s="3" t="s">
        <v>33</v>
      </c>
      <c r="B16" s="4" t="n">
        <v>1</v>
      </c>
      <c r="C16" s="5" t="n">
        <v>1</v>
      </c>
      <c r="D16" s="6" t="n">
        <f aca="false">B16*C16</f>
        <v>1</v>
      </c>
      <c r="E16" s="4" t="s">
        <v>19</v>
      </c>
      <c r="F16" s="7" t="s">
        <v>34</v>
      </c>
    </row>
    <row r="17" customFormat="false" ht="15" hidden="false" customHeight="false" outlineLevel="0" collapsed="false">
      <c r="A17" s="2" t="s">
        <v>35</v>
      </c>
      <c r="B17" s="2"/>
      <c r="C17" s="2"/>
      <c r="D17" s="2"/>
      <c r="E17" s="2"/>
      <c r="F17" s="2"/>
    </row>
    <row r="18" customFormat="false" ht="23.85" hidden="false" customHeight="false" outlineLevel="0" collapsed="false">
      <c r="A18" s="3" t="s">
        <v>36</v>
      </c>
      <c r="B18" s="4" t="n">
        <v>1</v>
      </c>
      <c r="C18" s="5" t="n">
        <v>220</v>
      </c>
      <c r="D18" s="6" t="n">
        <f aca="false">B18*C18</f>
        <v>220</v>
      </c>
      <c r="E18" s="4" t="s">
        <v>37</v>
      </c>
      <c r="F18" s="7" t="s">
        <v>38</v>
      </c>
    </row>
    <row r="19" customFormat="false" ht="23.85" hidden="false" customHeight="false" outlineLevel="0" collapsed="false">
      <c r="A19" s="3" t="s">
        <v>39</v>
      </c>
      <c r="B19" s="4" t="n">
        <v>1</v>
      </c>
      <c r="C19" s="5" t="n">
        <v>8</v>
      </c>
      <c r="D19" s="6" t="n">
        <f aca="false">B19*C19</f>
        <v>8</v>
      </c>
      <c r="E19" s="4" t="s">
        <v>40</v>
      </c>
      <c r="F19" s="7" t="s">
        <v>41</v>
      </c>
    </row>
    <row r="20" customFormat="false" ht="15" hidden="false" customHeight="false" outlineLevel="0" collapsed="false">
      <c r="A20" s="2" t="s">
        <v>42</v>
      </c>
      <c r="B20" s="2"/>
      <c r="C20" s="2"/>
      <c r="D20" s="2"/>
      <c r="E20" s="2"/>
      <c r="F20" s="2"/>
    </row>
    <row r="21" customFormat="false" ht="23.85" hidden="false" customHeight="false" outlineLevel="0" collapsed="false">
      <c r="A21" s="3" t="s">
        <v>43</v>
      </c>
      <c r="B21" s="4" t="n">
        <v>1</v>
      </c>
      <c r="C21" s="5" t="n">
        <v>16</v>
      </c>
      <c r="D21" s="6" t="n">
        <f aca="false">B21*C21</f>
        <v>16</v>
      </c>
      <c r="E21" s="4" t="s">
        <v>8</v>
      </c>
      <c r="F21" s="7" t="s">
        <v>44</v>
      </c>
    </row>
    <row r="22" customFormat="false" ht="23.85" hidden="false" customHeight="false" outlineLevel="0" collapsed="false">
      <c r="A22" s="3" t="s">
        <v>45</v>
      </c>
      <c r="B22" s="4" t="n">
        <v>1</v>
      </c>
      <c r="C22" s="5" t="n">
        <v>6</v>
      </c>
      <c r="D22" s="6" t="n">
        <f aca="false">B22*C22</f>
        <v>6</v>
      </c>
      <c r="E22" s="4" t="s">
        <v>8</v>
      </c>
      <c r="F22" s="7" t="s">
        <v>46</v>
      </c>
    </row>
    <row r="23" customFormat="false" ht="15" hidden="false" customHeight="false" outlineLevel="0" collapsed="false">
      <c r="A23" s="2" t="s">
        <v>47</v>
      </c>
      <c r="B23" s="2"/>
      <c r="C23" s="2"/>
      <c r="D23" s="2"/>
      <c r="E23" s="2"/>
      <c r="F23" s="2"/>
    </row>
    <row r="24" customFormat="false" ht="15" hidden="false" customHeight="false" outlineLevel="0" collapsed="false">
      <c r="A24" s="3" t="s">
        <v>48</v>
      </c>
      <c r="B24" s="4" t="n">
        <v>2</v>
      </c>
      <c r="C24" s="5" t="n">
        <v>3</v>
      </c>
      <c r="D24" s="6" t="n">
        <f aca="false">B24*C24</f>
        <v>6</v>
      </c>
      <c r="E24" s="4" t="s">
        <v>8</v>
      </c>
      <c r="F24" s="7" t="s">
        <v>49</v>
      </c>
    </row>
    <row r="25" customFormat="false" ht="15" hidden="false" customHeight="false" outlineLevel="0" collapsed="false">
      <c r="A25" s="3" t="s">
        <v>50</v>
      </c>
      <c r="B25" s="4" t="n">
        <v>1</v>
      </c>
      <c r="C25" s="5" t="n">
        <v>8</v>
      </c>
      <c r="D25" s="6" t="n">
        <f aca="false">B25*C25</f>
        <v>8</v>
      </c>
      <c r="E25" s="4" t="s">
        <v>8</v>
      </c>
      <c r="F25" s="7" t="s">
        <v>51</v>
      </c>
    </row>
    <row r="26" customFormat="false" ht="15" hidden="false" customHeight="false" outlineLevel="0" collapsed="false">
      <c r="A26" s="3" t="s">
        <v>52</v>
      </c>
      <c r="B26" s="4" t="n">
        <v>1</v>
      </c>
      <c r="C26" s="5" t="n">
        <v>7</v>
      </c>
      <c r="D26" s="6" t="n">
        <f aca="false">B26*C26</f>
        <v>7</v>
      </c>
      <c r="E26" s="4" t="s">
        <v>8</v>
      </c>
      <c r="F26" s="7" t="s">
        <v>53</v>
      </c>
    </row>
    <row r="27" customFormat="false" ht="15" hidden="false" customHeight="false" outlineLevel="0" collapsed="false">
      <c r="A27" s="3" t="s">
        <v>54</v>
      </c>
      <c r="B27" s="4" t="n">
        <v>1</v>
      </c>
      <c r="C27" s="5" t="n">
        <v>10</v>
      </c>
      <c r="D27" s="6" t="n">
        <f aca="false">B27*C27</f>
        <v>10</v>
      </c>
      <c r="E27" s="4" t="s">
        <v>8</v>
      </c>
      <c r="F27" s="7" t="s">
        <v>55</v>
      </c>
    </row>
    <row r="28" customFormat="false" ht="15" hidden="false" customHeight="false" outlineLevel="0" collapsed="false">
      <c r="A28" s="3" t="s">
        <v>56</v>
      </c>
      <c r="B28" s="4" t="n">
        <v>1</v>
      </c>
      <c r="C28" s="5" t="n">
        <v>9</v>
      </c>
      <c r="D28" s="6" t="n">
        <f aca="false">B28*C28</f>
        <v>9</v>
      </c>
      <c r="E28" s="4" t="s">
        <v>8</v>
      </c>
      <c r="F28" s="7" t="s">
        <v>57</v>
      </c>
    </row>
    <row r="29" customFormat="false" ht="15" hidden="false" customHeight="false" outlineLevel="0" collapsed="false">
      <c r="A29" s="8" t="s">
        <v>58</v>
      </c>
      <c r="B29" s="8"/>
      <c r="C29" s="8"/>
      <c r="D29" s="9" t="n">
        <f aca="false">SUM(D2:D28)</f>
        <v>530</v>
      </c>
      <c r="E29" s="10"/>
      <c r="F29" s="10"/>
    </row>
  </sheetData>
  <mergeCells count="8">
    <mergeCell ref="A2:F2"/>
    <mergeCell ref="A7:F7"/>
    <mergeCell ref="A10:F10"/>
    <mergeCell ref="A14:F14"/>
    <mergeCell ref="A17:F17"/>
    <mergeCell ref="A20:F20"/>
    <mergeCell ref="A23:F23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1" t="s">
        <v>59</v>
      </c>
    </row>
    <row r="3" customFormat="false" ht="30" hidden="false" customHeight="true" outlineLevel="0" collapsed="false">
      <c r="A3" s="12" t="s">
        <v>60</v>
      </c>
    </row>
    <row r="4" customFormat="false" ht="30" hidden="false" customHeight="true" outlineLevel="0" collapsed="false">
      <c r="A4" s="12" t="s">
        <v>61</v>
      </c>
    </row>
    <row r="5" customFormat="false" ht="30" hidden="false" customHeight="true" outlineLevel="0" collapsed="false">
      <c r="A5" s="12" t="s">
        <v>62</v>
      </c>
    </row>
    <row r="6" customFormat="false" ht="30" hidden="false" customHeight="true" outlineLevel="0" collapsed="false">
      <c r="A6" s="12" t="s">
        <v>63</v>
      </c>
    </row>
    <row r="7" customFormat="false" ht="30" hidden="false" customHeight="true" outlineLevel="0" collapsed="false">
      <c r="A7" s="12" t="s">
        <v>64</v>
      </c>
    </row>
    <row r="8" customFormat="false" ht="30" hidden="false" customHeight="true" outlineLevel="0" collapsed="false">
      <c r="A8" s="12" t="s">
        <v>65</v>
      </c>
    </row>
    <row r="9" customFormat="false" ht="30" hidden="false" customHeight="true" outlineLevel="0" collapsed="false">
      <c r="A9" s="12" t="s">
        <v>66</v>
      </c>
    </row>
    <row r="10" customFormat="false" ht="30" hidden="false" customHeight="true" outlineLevel="0" collapsed="false">
      <c r="A10" s="12" t="s">
        <v>67</v>
      </c>
    </row>
    <row r="11" customFormat="false" ht="30" hidden="false" customHeight="true" outlineLevel="0" collapsed="false">
      <c r="A11" s="12" t="s">
        <v>68</v>
      </c>
    </row>
    <row r="12" customFormat="false" ht="30" hidden="false" customHeight="true" outlineLevel="0" collapsed="false">
      <c r="A12" s="12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2026-06-15T19:23:56Z</dcterms:created>
  <dc:creator>openpyxl</dc:creator>
  <dc:description/>
  <dc:language>en-US</dc:language>
  <cp:lastModifiedBy/>
  <dcterms:modified xsi:type="dcterms:W3CDTF">2026-06-15T19:23:56Z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