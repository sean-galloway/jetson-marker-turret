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urret BOM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;&quot;($&quot;#,##0.00\);\-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5"/>
    </font>
    <font>
      <name val="Arial"/>
      <charset val="1"/>
      <family val="0"/>
      <color rgb="FF8080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2"/>
      <color rgb="FF222222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color rgb="FFC9211E"/>
      <sz val="10"/>
    </font>
    <font>
      <name val="arial"/>
      <charset val="1"/>
      <family val="2"/>
      <color rgb="FF808080"/>
      <sz val="9"/>
    </font>
  </fonts>
  <fills count="7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CFD6E4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</fills>
  <borders count="6">
    <border>
      <left/>
      <right/>
      <top/>
      <bottom/>
      <diagonal/>
    </border>
    <border>
      <left style="thin">
        <color rgb="FFCFD6E4"/>
      </left>
      <right style="thin">
        <color rgb="FFCFD6E4"/>
      </right>
      <top style="thin">
        <color rgb="FFCFD6E4"/>
      </top>
      <bottom style="thin">
        <color rgb="FFCFD6E4"/>
      </bottom>
      <diagonal/>
    </border>
    <border>
      <left/>
      <right/>
      <top style="thin">
        <color rgb="FFCFD6E4"/>
      </top>
      <bottom/>
      <diagonal/>
    </border>
    <border>
      <left/>
      <right style="thin">
        <color rgb="FFCFD6E4"/>
      </right>
      <top style="thin">
        <color rgb="FFCFD6E4"/>
      </top>
      <bottom/>
      <diagonal/>
    </border>
    <border>
      <left/>
      <right/>
      <top style="thin">
        <color rgb="FFCFD6E4"/>
      </top>
      <bottom style="thin">
        <color rgb="FFCFD6E4"/>
      </bottom>
      <diagonal/>
    </border>
    <border>
      <left/>
      <right style="thin">
        <color rgb="FFCFD6E4"/>
      </right>
      <top style="thin">
        <color rgb="FFCFD6E4"/>
      </top>
      <bottom style="thin">
        <color rgb="FFCFD6E4"/>
      </bottom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center" vertical="bottom" wrapText="1"/>
    </xf>
    <xf numFmtId="0" fontId="10" fillId="4" borderId="0" applyAlignment="1" pivotButton="0" quotePrefix="0" xfId="0">
      <alignment horizontal="center" vertical="bottom"/>
    </xf>
    <xf numFmtId="0" fontId="8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center" vertical="bottom" wrapText="1"/>
    </xf>
    <xf numFmtId="0" fontId="10" fillId="4" borderId="0" applyAlignment="1" pivotButton="0" quotePrefix="0" xfId="0">
      <alignment horizontal="center" vertical="bottom"/>
    </xf>
    <xf numFmtId="0" fontId="8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D9E1F2"/>
      <rgbColor rgb="FF660066"/>
      <rgbColor rgb="FFFF8080"/>
      <rgbColor rgb="FF0066CC"/>
      <rgbColor rgb="FFCFD6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C9211E"/>
      <rgbColor rgb="FF993366"/>
      <rgbColor rgb="FF333399"/>
      <rgbColor rgb="FF22222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6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0" min="1" max="1"/>
    <col width="24" customWidth="1" style="20" min="2" max="2"/>
    <col width="50" customWidth="1" style="20" min="3" max="3"/>
    <col width="30" customWidth="1" style="20" min="4" max="4"/>
    <col width="5" customWidth="1" style="20" min="5" max="5"/>
    <col width="10" customWidth="1" style="20" min="6" max="6"/>
    <col width="9" customWidth="1" style="20" min="7" max="7"/>
    <col width="12" customWidth="1" style="20" min="8" max="8"/>
    <col width="13.4" customWidth="1" style="20" min="9" max="9"/>
    <col width="40" customWidth="1" style="20" min="10" max="10"/>
    <col width="14.2" customWidth="1" style="20" min="11" max="11"/>
    <col width="12" customWidth="1" style="20" min="12" max="12"/>
    <col width="40" customWidth="1" style="20" min="13" max="13"/>
  </cols>
  <sheetData>
    <row r="1" ht="18.55" customHeight="1" s="21">
      <c r="A1" s="22" t="inlineStr">
        <is>
          <t>Paintball Turret — Bolt-Together BOM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4" t="n"/>
    </row>
    <row r="2" ht="15" customHeight="1" s="21">
      <c r="A2" s="25" t="inlineStr">
        <is>
          <t>Sections A–D: the turret system (payload on the gun · compute on the tripod · displays · power/wiring). Sections E–G: the bolt-together gimbal — BUY catalog · CUT (DXF, SendCutSend) · HAVE. Owned items are priced $0 so they stay out of the totals.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4" t="n"/>
    </row>
    <row r="4" ht="15" customHeight="1" s="21">
      <c r="A4" s="26" t="inlineStr">
        <is>
          <t>#</t>
        </is>
      </c>
      <c r="B4" s="27" t="inlineStr">
        <is>
          <t>Item</t>
        </is>
      </c>
      <c r="C4" s="27" t="inlineStr">
        <is>
          <t>Spec</t>
        </is>
      </c>
      <c r="D4" s="27" t="inlineStr">
        <is>
          <t>P/N or Source</t>
        </is>
      </c>
      <c r="E4" s="26" t="inlineStr">
        <is>
          <t>Qty</t>
        </is>
      </c>
      <c r="F4" s="26" t="inlineStr">
        <is>
          <t>Unit $</t>
        </is>
      </c>
      <c r="G4" s="26" t="inlineStr">
        <is>
          <t>Line $</t>
        </is>
      </c>
      <c r="H4" s="27" t="inlineStr">
        <is>
          <t>DS Needed</t>
        </is>
      </c>
      <c r="I4" s="27" t="inlineStr">
        <is>
          <t>have D/S</t>
        </is>
      </c>
      <c r="J4" s="27" t="inlineStr">
        <is>
          <t>Notes</t>
        </is>
      </c>
      <c r="K4" s="27" t="inlineStr">
        <is>
          <t>P/N</t>
        </is>
      </c>
      <c r="L4" s="27" t="inlineStr">
        <is>
          <t>Source</t>
        </is>
      </c>
      <c r="M4" s="27" t="inlineStr">
        <is>
          <t>Link</t>
        </is>
      </c>
    </row>
    <row r="5" ht="15" customHeight="1" s="21">
      <c r="A5" s="28" t="inlineStr">
        <is>
          <t>A.  PAYLOAD — ON THE TURRET</t>
        </is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4" t="n"/>
      <c r="K5" s="28" t="n"/>
      <c r="L5" s="28" t="n"/>
      <c r="M5" s="28" t="n"/>
    </row>
    <row r="6" ht="23.85" customHeight="1" s="21">
      <c r="A6" s="29" t="n">
        <v>1</v>
      </c>
      <c r="B6" s="30" t="inlineStr">
        <is>
          <t>Paintball marker</t>
        </is>
      </c>
      <c r="C6" s="30" t="inlineStr">
        <is>
          <t>Bore-sighted reference for the ZED</t>
        </is>
      </c>
      <c r="D6" s="30" t="inlineStr">
        <is>
          <t>owned</t>
        </is>
      </c>
      <c r="E6" s="29" t="n">
        <v>1</v>
      </c>
      <c r="F6" s="31" t="n">
        <v>0</v>
      </c>
      <c r="G6" s="31">
        <f>IF(F6="","",E6*F6)</f>
        <v/>
      </c>
      <c r="H6" s="32" t="inlineStr">
        <is>
          <t>Have</t>
        </is>
      </c>
      <c r="I6" s="32" t="n"/>
      <c r="J6" s="30" t="inlineStr">
        <is>
          <t>Owned. Bore aligns to the pan axis; hopper top-rear.</t>
        </is>
      </c>
      <c r="K6" s="33" t="n"/>
      <c r="L6" s="33" t="n"/>
      <c r="M6" s="34" t="n"/>
    </row>
    <row r="7" ht="15" customHeight="1" s="21">
      <c r="A7" s="29" t="n">
        <v>2</v>
      </c>
      <c r="B7" s="30" t="inlineStr">
        <is>
          <t>Push-pull solenoid (trigger)</t>
        </is>
      </c>
      <c r="C7" s="30" t="inlineStr">
        <is>
          <t>12 V, ~10 mm stroke</t>
        </is>
      </c>
      <c r="D7" s="30" t="inlineStr">
        <is>
          <t>Makermotor PN00121</t>
        </is>
      </c>
      <c r="E7" s="29" t="n">
        <v>1</v>
      </c>
      <c r="F7" s="31" t="n">
        <v>20</v>
      </c>
      <c r="G7" s="31">
        <f>IF(F7="","",E7*F7)</f>
        <v/>
      </c>
      <c r="H7" s="32" t="inlineStr">
        <is>
          <t>n</t>
        </is>
      </c>
      <c r="I7" s="32" t="n"/>
      <c r="J7" s="30" t="inlineStr">
        <is>
          <t>Trigger actuator; 12 V switched.</t>
        </is>
      </c>
      <c r="K7" s="33" t="inlineStr">
        <is>
          <t>PN00121</t>
        </is>
      </c>
      <c r="L7" s="33" t="n"/>
      <c r="M7" s="34" t="n"/>
    </row>
    <row r="8" ht="23.85" customHeight="1" s="21">
      <c r="A8" s="29" t="n">
        <v>3</v>
      </c>
      <c r="B8" s="30" t="inlineStr">
        <is>
          <t>Arming switch / relay (interlock)</t>
        </is>
      </c>
      <c r="C8" s="30" t="inlineStr">
        <is>
          <t>SPST toggle / 12 V relay, in the 12 V solenoid line</t>
        </is>
      </c>
      <c r="D8" s="30" t="inlineStr">
        <is>
          <t>generic</t>
        </is>
      </c>
      <c r="E8" s="29" t="n">
        <v>1</v>
      </c>
      <c r="F8" s="31" t="n">
        <v>8</v>
      </c>
      <c r="G8" s="31">
        <f>IF(F8="","",E8*F8)</f>
        <v/>
      </c>
      <c r="H8" s="32" t="inlineStr">
        <is>
          <t>n</t>
        </is>
      </c>
      <c r="I8" s="32" t="n"/>
      <c r="J8" s="30" t="inlineStr">
        <is>
          <t>HARDWARE INTERLOCK: open = cannot fire. Safety-critical.</t>
        </is>
      </c>
      <c r="K8" s="33" t="n"/>
      <c r="L8" s="33" t="n"/>
      <c r="M8" s="34" t="n"/>
    </row>
    <row r="9" ht="15" customHeight="1" s="21">
      <c r="A9" s="29" t="n">
        <v>4</v>
      </c>
      <c r="B9" s="30" t="inlineStr">
        <is>
          <t>Laser sight (boresight aid)</t>
        </is>
      </c>
      <c r="C9" s="30" t="inlineStr">
        <is>
          <t>Mounts on top of the barrel</t>
        </is>
      </c>
      <c r="D9" s="30" t="inlineStr">
        <is>
          <t>generic</t>
        </is>
      </c>
      <c r="E9" s="29" t="n">
        <v>1</v>
      </c>
      <c r="F9" s="31" t="n">
        <v>15</v>
      </c>
      <c r="G9" s="31">
        <f>IF(F9="","",E9*F9)</f>
        <v/>
      </c>
      <c r="H9" s="32" t="inlineStr">
        <is>
          <t>n</t>
        </is>
      </c>
      <c r="I9" s="32" t="n"/>
      <c r="J9" s="30" t="inlineStr">
        <is>
          <t>Zero to impact point at a set range, like a rifle.</t>
        </is>
      </c>
      <c r="K9" s="33" t="n"/>
      <c r="L9" s="33" t="n"/>
      <c r="M9" s="34" t="n"/>
    </row>
    <row r="10" ht="23.85" customHeight="1" s="21">
      <c r="A10" s="29" t="n">
        <v>5</v>
      </c>
      <c r="B10" s="30" t="inlineStr">
        <is>
          <t>ZED 2i stereo camera</t>
        </is>
      </c>
      <c r="C10" s="30" t="inlineStr">
        <is>
          <t>4 mm, polarizer; USB 3.0</t>
        </is>
      </c>
      <c r="D10" s="30" t="inlineStr">
        <is>
          <t>Stereolabs ZED 2i 4mm</t>
        </is>
      </c>
      <c r="E10" s="29" t="n">
        <v>1</v>
      </c>
      <c r="F10" s="31" t="n">
        <v>0</v>
      </c>
      <c r="G10" s="31">
        <f>IF(F10="","",E10*F10)</f>
        <v/>
      </c>
      <c r="H10" s="32" t="inlineStr">
        <is>
          <t>Have</t>
        </is>
      </c>
      <c r="I10" s="32" t="n"/>
      <c r="J10" s="30" t="inlineStr">
        <is>
          <t>Owned (~$549). Boresighted below the barrel; routes to the Jetson.</t>
        </is>
      </c>
      <c r="K10" s="33" t="n"/>
      <c r="L10" s="33" t="n"/>
      <c r="M10" s="34" t="n"/>
    </row>
    <row r="11" ht="23.85" customHeight="1" s="21">
      <c r="A11" s="29" t="n">
        <v>6</v>
      </c>
      <c r="B11" s="30" t="inlineStr">
        <is>
          <t>ZED USB3 locking cable (3 m)</t>
        </is>
      </c>
      <c r="C11" s="30" t="inlineStr">
        <is>
          <t>USB 3.0 Type-C locking</t>
        </is>
      </c>
      <c r="D11" s="30" t="inlineStr">
        <is>
          <t>Stereolabs</t>
        </is>
      </c>
      <c r="E11" s="29" t="n">
        <v>1</v>
      </c>
      <c r="F11" s="31" t="n">
        <v>0</v>
      </c>
      <c r="G11" s="31">
        <f>IF(F11="","",E11*F11)</f>
        <v/>
      </c>
      <c r="H11" s="32" t="inlineStr">
        <is>
          <t>Have</t>
        </is>
      </c>
      <c r="I11" s="32" t="n"/>
      <c r="J11" s="30" t="inlineStr">
        <is>
          <t>Owned.</t>
        </is>
      </c>
      <c r="K11" s="33" t="n"/>
      <c r="L11" s="33" t="n"/>
      <c r="M11" s="34" t="n"/>
    </row>
    <row r="12" ht="15" customHeight="1" s="21">
      <c r="A12" s="29" t="n">
        <v>7</v>
      </c>
      <c r="B12" s="30" t="inlineStr">
        <is>
          <t>10-DOF IMU (BNO055 + BMP280)</t>
        </is>
      </c>
      <c r="C12" s="30" t="inlineStr">
        <is>
          <t>I2C Gravity plug (no solder); run IMU mode (no mag)</t>
        </is>
      </c>
      <c r="D12" s="30" t="inlineStr">
        <is>
          <t>DFRobot Gravity SEN0253</t>
        </is>
      </c>
      <c r="E12" s="29" t="n">
        <v>1</v>
      </c>
      <c r="F12" s="31" t="n">
        <v>25.9</v>
      </c>
      <c r="G12" s="31">
        <f>IF(F12="","",E12*F12)</f>
        <v/>
      </c>
      <c r="H12" s="32" t="inlineStr">
        <is>
          <t>n</t>
        </is>
      </c>
      <c r="I12" s="32" t="n"/>
      <c r="J12" s="30" t="inlineStr">
        <is>
          <t>Leveling + stabilization; rigid to platform. Use IMU (no-mag) mode near steppers; lower Pi I2C baud for BNO055 clock-stretch.</t>
        </is>
      </c>
      <c r="K12" s="33" t="inlineStr">
        <is>
          <t>SEN0253</t>
        </is>
      </c>
      <c r="L12" s="33" t="inlineStr">
        <is>
          <t>DFRobot</t>
        </is>
      </c>
      <c r="M12" s="34" t="inlineStr">
        <is>
          <t>https://www.dfrobot.com/product-1793.html</t>
        </is>
      </c>
    </row>
    <row r="13" ht="23.85" customHeight="1" s="21">
      <c r="A13" s="29" t="n">
        <v>8</v>
      </c>
      <c r="B13" s="30" t="inlineStr">
        <is>
          <t>Benewake TF03 lidar (100 m)</t>
        </is>
      </c>
      <c r="C13" s="30" t="inlineStr">
        <is>
          <t>Single-point rangefinder; UART/CAN; IP67</t>
        </is>
      </c>
      <c r="D13" s="30" t="inlineStr">
        <is>
          <t>TF03-100</t>
        </is>
      </c>
      <c r="E13" s="29" t="n">
        <v>1</v>
      </c>
      <c r="F13" s="31" t="n">
        <v>220</v>
      </c>
      <c r="G13" s="31">
        <f>IF(F13="","",E13*F13)</f>
        <v/>
      </c>
      <c r="H13" s="32" t="inlineStr">
        <is>
          <t>n</t>
        </is>
      </c>
      <c r="I13" s="32" t="n"/>
      <c r="J13" s="30" t="inlineStr">
        <is>
          <t>Boresighted to the muzzle; range along the line of fire.</t>
        </is>
      </c>
      <c r="K13" s="33" t="inlineStr">
        <is>
          <t>TF03-100</t>
        </is>
      </c>
      <c r="L13" s="33" t="n"/>
      <c r="M13" s="34" t="n"/>
    </row>
    <row r="14" ht="23.85" customHeight="1" s="21">
      <c r="A14" s="29" t="n">
        <v>9</v>
      </c>
      <c r="B14" s="30" t="inlineStr">
        <is>
          <t>OLED status screen (SSD1306)</t>
        </is>
      </c>
      <c r="C14" s="30" t="inlineStr">
        <is>
          <t>128×64; I2C</t>
        </is>
      </c>
      <c r="D14" s="30" t="inlineStr">
        <is>
          <t>Adafruit 938</t>
        </is>
      </c>
      <c r="E14" s="29" t="n">
        <v>1</v>
      </c>
      <c r="F14" s="31" t="n">
        <v>9</v>
      </c>
      <c r="G14" s="31">
        <f>IF(F14="","",E14*F14)</f>
        <v/>
      </c>
      <c r="H14" s="32" t="inlineStr">
        <is>
          <t>n</t>
        </is>
      </c>
      <c r="I14" s="32" t="n"/>
      <c r="J14" s="30" t="inlineStr">
        <is>
          <t>On-gun ARMED/SAFE + range readout.</t>
        </is>
      </c>
      <c r="K14" s="33" t="inlineStr">
        <is>
          <t>938</t>
        </is>
      </c>
      <c r="L14" s="33" t="n"/>
      <c r="M14" s="34" t="n"/>
    </row>
    <row r="15" ht="15" customHeight="1" s="21">
      <c r="A15" s="28" t="inlineStr">
        <is>
          <t>B.  COMPUTE &amp; CONTROL — ON THE TRIPOD</t>
        </is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4" t="n"/>
      <c r="K15" s="28" t="n"/>
      <c r="L15" s="28" t="n"/>
      <c r="M15" s="28" t="n"/>
    </row>
    <row r="16" ht="23.85" customHeight="1" s="21">
      <c r="A16" s="29" t="n">
        <v>10</v>
      </c>
      <c r="B16" s="30" t="inlineStr">
        <is>
          <t>NVIDIA Jetson AGX Orin 32 GB</t>
        </is>
      </c>
      <c r="C16" s="30" t="inlineStr">
        <is>
          <t>Vision/targeting module</t>
        </is>
      </c>
      <c r="D16" s="30" t="inlineStr">
        <is>
          <t>AGX Orin 32GB</t>
        </is>
      </c>
      <c r="E16" s="29" t="n">
        <v>1</v>
      </c>
      <c r="F16" s="31" t="n">
        <v>0</v>
      </c>
      <c r="G16" s="31">
        <f>IF(F16="","",E16*F16)</f>
        <v/>
      </c>
      <c r="H16" s="32" t="inlineStr">
        <is>
          <t>Have</t>
        </is>
      </c>
      <c r="I16" s="32" t="n"/>
      <c r="J16" s="30" t="inlineStr">
        <is>
          <t>Owned. Perception/targeting.</t>
        </is>
      </c>
      <c r="K16" s="33" t="n"/>
      <c r="L16" s="33" t="n"/>
      <c r="M16" s="34" t="n"/>
    </row>
    <row r="17" ht="15" customHeight="1" s="21">
      <c r="A17" s="29" t="n">
        <v>11</v>
      </c>
      <c r="B17" s="30" t="inlineStr">
        <is>
          <t>Raspberry Pi 5 (8 GB)</t>
        </is>
      </c>
      <c r="C17" s="30" t="inlineStr">
        <is>
          <t>Supervisor</t>
        </is>
      </c>
      <c r="D17" s="30" t="inlineStr">
        <is>
          <t>SC1112</t>
        </is>
      </c>
      <c r="E17" s="29" t="n">
        <v>1</v>
      </c>
      <c r="F17" s="31" t="n">
        <v>80</v>
      </c>
      <c r="G17" s="31">
        <f>IF(F17="","",E17*F17)</f>
        <v/>
      </c>
      <c r="H17" s="32" t="inlineStr">
        <is>
          <t>n</t>
        </is>
      </c>
      <c r="I17" s="32" t="n"/>
      <c r="J17" s="30" t="inlineStr">
        <is>
          <t>Setpoints, IMU/lidar, arming, state.</t>
        </is>
      </c>
      <c r="K17" s="33" t="inlineStr">
        <is>
          <t>SC1112</t>
        </is>
      </c>
      <c r="L17" s="33" t="n"/>
      <c r="M17" s="34" t="n"/>
    </row>
    <row r="18" ht="15" customHeight="1" s="21">
      <c r="A18" s="29" t="n">
        <v>12</v>
      </c>
      <c r="B18" s="30" t="inlineStr">
        <is>
          <t>Pi 5 Active Cooler</t>
        </is>
      </c>
      <c r="C18" s="30" t="inlineStr">
        <is>
          <t>—</t>
        </is>
      </c>
      <c r="D18" s="30" t="inlineStr">
        <is>
          <t>SC1148</t>
        </is>
      </c>
      <c r="E18" s="29" t="n">
        <v>1</v>
      </c>
      <c r="F18" s="31" t="n">
        <v>5</v>
      </c>
      <c r="G18" s="31">
        <f>IF(F18="","",E18*F18)</f>
        <v/>
      </c>
      <c r="H18" s="32" t="inlineStr">
        <is>
          <t>n</t>
        </is>
      </c>
      <c r="I18" s="32" t="n"/>
      <c r="J18" s="30" t="inlineStr">
        <is>
          <t>Pi 5 throttles without it.</t>
        </is>
      </c>
      <c r="K18" s="33" t="inlineStr">
        <is>
          <t>SC1148</t>
        </is>
      </c>
      <c r="L18" s="33" t="n"/>
      <c r="M18" s="34" t="n"/>
    </row>
    <row r="19" ht="15" customHeight="1" s="21">
      <c r="A19" s="29" t="n">
        <v>13</v>
      </c>
      <c r="B19" s="30" t="inlineStr">
        <is>
          <t>Pi 27 W USB-C PD supply</t>
        </is>
      </c>
      <c r="C19" s="30" t="inlineStr">
        <is>
          <t>5.1 V / 5 A</t>
        </is>
      </c>
      <c r="D19" s="30" t="inlineStr">
        <is>
          <t>SC1158</t>
        </is>
      </c>
      <c r="E19" s="29" t="n">
        <v>1</v>
      </c>
      <c r="F19" s="31" t="n">
        <v>12</v>
      </c>
      <c r="G19" s="31">
        <f>IF(F19="","",E19*F19)</f>
        <v/>
      </c>
      <c r="H19" s="32" t="inlineStr">
        <is>
          <t>n</t>
        </is>
      </c>
      <c r="I19" s="32" t="n"/>
      <c r="J19" s="30" t="inlineStr">
        <is>
          <t>Powers the Pi + HAT reliably.</t>
        </is>
      </c>
      <c r="K19" s="33" t="inlineStr">
        <is>
          <t>SC1158</t>
        </is>
      </c>
      <c r="L19" s="33" t="n"/>
      <c r="M19" s="34" t="n"/>
    </row>
    <row r="20" ht="15" customHeight="1" s="21">
      <c r="A20" s="29" t="n">
        <v>14</v>
      </c>
      <c r="B20" s="30" t="inlineStr">
        <is>
          <t>microSD 64 GB A2</t>
        </is>
      </c>
      <c r="C20" s="30" t="inlineStr">
        <is>
          <t>—</t>
        </is>
      </c>
      <c r="D20" s="30" t="inlineStr">
        <is>
          <t>SanDisk SDSQXAV-064G</t>
        </is>
      </c>
      <c r="E20" s="29" t="n">
        <v>1</v>
      </c>
      <c r="F20" s="31" t="n">
        <v>10</v>
      </c>
      <c r="G20" s="31">
        <f>IF(F20="","",E20*F20)</f>
        <v/>
      </c>
      <c r="H20" s="32" t="inlineStr">
        <is>
          <t>n</t>
        </is>
      </c>
      <c r="I20" s="32" t="n"/>
      <c r="J20" s="30" t="inlineStr">
        <is>
          <t>Pi OS / boot.</t>
        </is>
      </c>
      <c r="K20" s="33" t="inlineStr">
        <is>
          <t>SDSQXAV-064G</t>
        </is>
      </c>
      <c r="L20" s="33" t="n"/>
      <c r="M20" s="34" t="n"/>
    </row>
    <row r="21" ht="23.85" customHeight="1" s="21">
      <c r="A21" s="29" t="n">
        <v>15</v>
      </c>
      <c r="B21" s="30" t="inlineStr">
        <is>
          <t>Solenoid driver HAT (8-MOSFET)</t>
        </is>
      </c>
      <c r="C21" s="30" t="inlineStr">
        <is>
          <t>I2C; solid-state</t>
        </is>
      </c>
      <c r="D21" s="30" t="inlineStr">
        <is>
          <t>Sequent Eight-MOSFETS</t>
        </is>
      </c>
      <c r="E21" s="29" t="n">
        <v>1</v>
      </c>
      <c r="F21" s="31" t="n">
        <v>45</v>
      </c>
      <c r="G21" s="31">
        <f>IF(F21="","",E21*F21)</f>
        <v/>
      </c>
      <c r="H21" s="32" t="inlineStr">
        <is>
          <t>n</t>
        </is>
      </c>
      <c r="I21" s="32" t="n"/>
      <c r="J21" s="30" t="inlineStr">
        <is>
          <t>Trigger drive; the only HAT on the stack now.</t>
        </is>
      </c>
      <c r="K21" s="33" t="n"/>
      <c r="L21" s="33" t="n"/>
      <c r="M21" s="34" t="n"/>
    </row>
    <row r="22" ht="23.85" customHeight="1" s="21">
      <c r="A22" s="29" t="n">
        <v>16</v>
      </c>
      <c r="B22" s="30" t="inlineStr">
        <is>
          <t>GPIO stacking header, 2×20 tall</t>
        </is>
      </c>
      <c r="C22" s="30" t="inlineStr">
        <is>
          <t>—</t>
        </is>
      </c>
      <c r="D22" s="30" t="inlineStr">
        <is>
          <t>Adafruit 2223</t>
        </is>
      </c>
      <c r="E22" s="29" t="n">
        <v>1</v>
      </c>
      <c r="F22" s="31" t="n">
        <v>3</v>
      </c>
      <c r="G22" s="31">
        <f>IF(F22="","",E22*F22)</f>
        <v/>
      </c>
      <c r="H22" s="32" t="inlineStr">
        <is>
          <t>n</t>
        </is>
      </c>
      <c r="I22" s="32" t="n"/>
      <c r="J22" s="30" t="inlineStr">
        <is>
          <t>Passes GPIO up past the HAT.</t>
        </is>
      </c>
      <c r="K22" s="33" t="inlineStr">
        <is>
          <t>2223</t>
        </is>
      </c>
      <c r="L22" s="33" t="n"/>
      <c r="M22" s="34" t="n"/>
    </row>
    <row r="23" ht="23.85" customHeight="1" s="21">
      <c r="A23" s="29" t="n">
        <v>17</v>
      </c>
      <c r="B23" s="30" t="inlineStr">
        <is>
          <t>Top-of-stack GPIO breakout / proto-HAT</t>
        </is>
      </c>
      <c r="C23" s="30" t="inlineStr">
        <is>
          <t>—</t>
        </is>
      </c>
      <c r="D23" s="30" t="inlineStr">
        <is>
          <t>Adafruit 2310</t>
        </is>
      </c>
      <c r="E23" s="29" t="n">
        <v>1</v>
      </c>
      <c r="F23" s="31" t="n">
        <v>8</v>
      </c>
      <c r="G23" s="31">
        <f>IF(F23="","",E23*F23)</f>
        <v/>
      </c>
      <c r="H23" s="32" t="inlineStr">
        <is>
          <t>n</t>
        </is>
      </c>
      <c r="I23" s="32" t="n"/>
      <c r="J23" s="30" t="inlineStr">
        <is>
          <t>Expose SPI (IMU), UART (lidar + Pico), spare GPIO.</t>
        </is>
      </c>
      <c r="K23" s="33" t="inlineStr">
        <is>
          <t>2310</t>
        </is>
      </c>
      <c r="L23" s="33" t="n"/>
      <c r="M23" s="34" t="n"/>
    </row>
    <row r="24" ht="23.85" customHeight="1" s="21">
      <c r="A24" s="29" t="n">
        <v>18</v>
      </c>
      <c r="B24" s="30" t="inlineStr">
        <is>
          <t>Brass standoff / spacer kit (M2.5)</t>
        </is>
      </c>
      <c r="C24" s="30" t="inlineStr">
        <is>
          <t>—</t>
        </is>
      </c>
      <c r="D24" s="30" t="inlineStr">
        <is>
          <t>generic</t>
        </is>
      </c>
      <c r="E24" s="29" t="n">
        <v>1</v>
      </c>
      <c r="F24" s="31" t="n">
        <v>8</v>
      </c>
      <c r="G24" s="31">
        <f>IF(F24="","",E24*F24)</f>
        <v/>
      </c>
      <c r="H24" s="32" t="inlineStr">
        <is>
          <t>n</t>
        </is>
      </c>
      <c r="I24" s="32" t="n"/>
      <c r="J24" s="30" t="inlineStr">
        <is>
          <t>Mount/space the HAT + Pi.</t>
        </is>
      </c>
      <c r="K24" s="33" t="n"/>
      <c r="L24" s="33" t="n"/>
      <c r="M24" s="34" t="n"/>
    </row>
    <row r="25" ht="23.85" customHeight="1" s="21">
      <c r="A25" s="29" t="n">
        <v>19</v>
      </c>
      <c r="B25" s="30" t="inlineStr">
        <is>
          <t>Limit / homing switches</t>
        </is>
      </c>
      <c r="C25" s="30" t="inlineStr">
        <is>
          <t>microswitch; GPIO to Pico</t>
        </is>
      </c>
      <c r="D25" s="30" t="inlineStr">
        <is>
          <t>generic</t>
        </is>
      </c>
      <c r="E25" s="29" t="n">
        <v>2</v>
      </c>
      <c r="F25" s="31" t="n">
        <v>3</v>
      </c>
      <c r="G25" s="31">
        <f>IF(F25="","",E25*F25)</f>
        <v/>
      </c>
      <c r="H25" s="32" t="inlineStr">
        <is>
          <t>n</t>
        </is>
      </c>
      <c r="I25" s="32" t="n"/>
      <c r="J25" s="30" t="inlineStr">
        <is>
          <t>One per axis → power-up homing → absolute aiming.</t>
        </is>
      </c>
      <c r="K25" s="33" t="n"/>
      <c r="L25" s="33" t="n"/>
      <c r="M25" s="34" t="n"/>
    </row>
    <row r="26" ht="15" customHeight="1" s="21">
      <c r="A26" s="28" t="inlineStr">
        <is>
          <t>C.  DISPLAYS &amp; CALIBRATION</t>
        </is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4" t="n"/>
      <c r="K26" s="28" t="n"/>
      <c r="L26" s="28" t="n"/>
      <c r="M26" s="28" t="n"/>
    </row>
    <row r="27" ht="23.85" customHeight="1" s="21">
      <c r="A27" s="29" t="n">
        <v>20</v>
      </c>
      <c r="B27" s="30" t="inlineStr">
        <is>
          <t>10.1in capacitive touchscreen</t>
        </is>
      </c>
      <c r="C27" s="30" t="inlineStr">
        <is>
          <t>Pi console; HDMI + USB</t>
        </is>
      </c>
      <c r="D27" s="30" t="inlineStr">
        <is>
          <t>owned</t>
        </is>
      </c>
      <c r="E27" s="29" t="n">
        <v>1</v>
      </c>
      <c r="F27" s="31" t="n">
        <v>0</v>
      </c>
      <c r="G27" s="31">
        <f>IF(F27="","",E27*F27)</f>
        <v/>
      </c>
      <c r="H27" s="32" t="inlineStr">
        <is>
          <t>Have</t>
        </is>
      </c>
      <c r="I27" s="32" t="n"/>
      <c r="J27" s="30" t="inlineStr">
        <is>
          <t>Owned. Dev/calibration console, off the rig.</t>
        </is>
      </c>
      <c r="K27" s="33" t="n"/>
      <c r="L27" s="33" t="n"/>
      <c r="M27" s="34" t="n"/>
    </row>
    <row r="28" ht="15" customHeight="1" s="21">
      <c r="A28" s="29" t="n">
        <v>21</v>
      </c>
      <c r="B28" s="30" t="inlineStr">
        <is>
          <t>7in TFT LCD monitor</t>
        </is>
      </c>
      <c r="C28" s="30" t="inlineStr">
        <is>
          <t>Jetson view; HDMI + 12 V</t>
        </is>
      </c>
      <c r="D28" s="30" t="inlineStr">
        <is>
          <t>owned</t>
        </is>
      </c>
      <c r="E28" s="29" t="n">
        <v>1</v>
      </c>
      <c r="F28" s="31" t="n">
        <v>0</v>
      </c>
      <c r="G28" s="31">
        <f>IF(F28="","",E28*F28)</f>
        <v/>
      </c>
      <c r="H28" s="32" t="inlineStr">
        <is>
          <t>Have</t>
        </is>
      </c>
      <c r="I28" s="32" t="n"/>
      <c r="J28" s="30" t="inlineStr">
        <is>
          <t>Owned. Jetson perception monitor.</t>
        </is>
      </c>
      <c r="K28" s="33" t="n"/>
      <c r="L28" s="33" t="n"/>
      <c r="M28" s="34" t="n"/>
    </row>
    <row r="29" ht="23.85" customHeight="1" s="21">
      <c r="A29" s="29" t="n">
        <v>22</v>
      </c>
      <c r="B29" s="30" t="inlineStr">
        <is>
          <t>Checkerboard calibration target</t>
        </is>
      </c>
      <c r="C29" s="30" t="inlineStr">
        <is>
          <t>Rigid flat backing</t>
        </is>
      </c>
      <c r="D29" s="30" t="inlineStr">
        <is>
          <t>owned</t>
        </is>
      </c>
      <c r="E29" s="29" t="n">
        <v>1</v>
      </c>
      <c r="F29" s="31" t="n">
        <v>0</v>
      </c>
      <c r="G29" s="31">
        <f>IF(F29="","",E29*F29)</f>
        <v/>
      </c>
      <c r="H29" s="32" t="inlineStr">
        <is>
          <t>Have</t>
        </is>
      </c>
      <c r="I29" s="32" t="n"/>
      <c r="J29" s="30" t="inlineStr">
        <is>
          <t>Owned. Camera + boresight calibration.</t>
        </is>
      </c>
      <c r="K29" s="33" t="n"/>
      <c r="L29" s="33" t="n"/>
      <c r="M29" s="34" t="n"/>
    </row>
    <row r="30" ht="15" customHeight="1" s="21">
      <c r="A30" s="29" t="n">
        <v>23</v>
      </c>
      <c r="B30" s="30" t="inlineStr">
        <is>
          <t>micro-HDMI → HDMI cable</t>
        </is>
      </c>
      <c r="C30" s="30" t="inlineStr">
        <is>
          <t>—</t>
        </is>
      </c>
      <c r="D30" s="30" t="inlineStr">
        <is>
          <t>generic</t>
        </is>
      </c>
      <c r="E30" s="29" t="n">
        <v>1</v>
      </c>
      <c r="F30" s="31" t="n">
        <v>7</v>
      </c>
      <c r="G30" s="31">
        <f>IF(F30="","",E30*F30)</f>
        <v/>
      </c>
      <c r="H30" s="32" t="inlineStr">
        <is>
          <t>n</t>
        </is>
      </c>
      <c r="I30" s="32" t="n"/>
      <c r="J30" s="30" t="inlineStr">
        <is>
          <t>Pi 5 micro-HDMI → 10.1in.</t>
        </is>
      </c>
      <c r="K30" s="33" t="n"/>
      <c r="L30" s="33" t="n"/>
      <c r="M30" s="34" t="n"/>
    </row>
    <row r="31" ht="15" customHeight="1" s="21">
      <c r="A31" s="29" t="n">
        <v>24</v>
      </c>
      <c r="B31" s="30" t="inlineStr">
        <is>
          <t>DisplayPort → HDMI adapter</t>
        </is>
      </c>
      <c r="C31" s="30" t="inlineStr">
        <is>
          <t>—</t>
        </is>
      </c>
      <c r="D31" s="30" t="inlineStr">
        <is>
          <t>generic</t>
        </is>
      </c>
      <c r="E31" s="29" t="n">
        <v>1</v>
      </c>
      <c r="F31" s="31" t="n">
        <v>9</v>
      </c>
      <c r="G31" s="31">
        <f>IF(F31="","",E31*F31)</f>
        <v/>
      </c>
      <c r="H31" s="32" t="inlineStr">
        <is>
          <t>n</t>
        </is>
      </c>
      <c r="I31" s="32" t="n"/>
      <c r="J31" s="30" t="inlineStr">
        <is>
          <t>AGX Orin is DisplayPort → 7in; verify.</t>
        </is>
      </c>
      <c r="K31" s="33" t="n"/>
      <c r="L31" s="33" t="n"/>
      <c r="M31" s="34" t="n"/>
    </row>
    <row r="32" ht="15" customHeight="1" s="21">
      <c r="A32" s="28" t="inlineStr">
        <is>
          <t>D.  POWER &amp; WIRING</t>
        </is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4" t="n"/>
      <c r="K32" s="28" t="n"/>
      <c r="L32" s="28" t="n"/>
      <c r="M32" s="28" t="n"/>
    </row>
    <row r="33" ht="23.85" customHeight="1" s="21">
      <c r="A33" s="29" t="n">
        <v>25</v>
      </c>
      <c r="B33" s="30" t="inlineStr">
        <is>
          <t>12 V DC supply (≥3 A)</t>
        </is>
      </c>
      <c r="C33" s="30" t="inlineStr">
        <is>
          <t>Solenoid rail</t>
        </is>
      </c>
      <c r="D33" s="30" t="inlineStr">
        <is>
          <t>Mean Well GST60A12</t>
        </is>
      </c>
      <c r="E33" s="29" t="n">
        <v>1</v>
      </c>
      <c r="F33" s="31" t="n">
        <v>16</v>
      </c>
      <c r="G33" s="31">
        <f>IF(F33="","",E33*F33)</f>
        <v/>
      </c>
      <c r="H33" s="32" t="inlineStr">
        <is>
          <t>n</t>
        </is>
      </c>
      <c r="I33" s="32" t="n"/>
      <c r="J33" s="30" t="inlineStr">
        <is>
          <t>Solenoid only (motors on 24–48 V). Or buck from 48 V for one supply.</t>
        </is>
      </c>
      <c r="K33" s="33" t="inlineStr">
        <is>
          <t>GST60A12</t>
        </is>
      </c>
      <c r="L33" s="33" t="n"/>
      <c r="M33" s="34" t="n"/>
    </row>
    <row r="34" ht="23.85" customHeight="1" s="21">
      <c r="A34" s="29" t="n">
        <v>26</v>
      </c>
      <c r="B34" s="30" t="inlineStr">
        <is>
          <t>Inline fuse holders + fuses</t>
        </is>
      </c>
      <c r="C34" s="30" t="inlineStr">
        <is>
          <t>ATC</t>
        </is>
      </c>
      <c r="D34" s="30" t="inlineStr">
        <is>
          <t>generic</t>
        </is>
      </c>
      <c r="E34" s="29" t="n">
        <v>1</v>
      </c>
      <c r="F34" s="31" t="n">
        <v>8</v>
      </c>
      <c r="G34" s="31">
        <f>IF(F34="","",E34*F34)</f>
        <v/>
      </c>
      <c r="H34" s="32" t="inlineStr">
        <is>
          <t>n</t>
        </is>
      </c>
      <c r="I34" s="32" t="n"/>
      <c r="J34" s="30" t="inlineStr">
        <is>
          <t>Fuse the 24–48 V and 12 V rails; tie ALL grounds together.</t>
        </is>
      </c>
      <c r="K34" s="33" t="n"/>
      <c r="L34" s="33" t="n"/>
      <c r="M34" s="34" t="n"/>
    </row>
    <row r="35" ht="23.85" customHeight="1" s="21">
      <c r="A35" s="29" t="n">
        <v>27</v>
      </c>
      <c r="B35" s="30" t="inlineStr">
        <is>
          <t>Ethernet cable, Cat6 (short)</t>
        </is>
      </c>
      <c r="C35" s="30" t="inlineStr">
        <is>
          <t>—</t>
        </is>
      </c>
      <c r="D35" s="30" t="inlineStr">
        <is>
          <t>generic</t>
        </is>
      </c>
      <c r="E35" s="29" t="n">
        <v>1</v>
      </c>
      <c r="F35" s="31" t="n">
        <v>6</v>
      </c>
      <c r="G35" s="31">
        <f>IF(F35="","",E35*F35)</f>
        <v/>
      </c>
      <c r="H35" s="32" t="inlineStr">
        <is>
          <t>n</t>
        </is>
      </c>
      <c r="I35" s="32" t="n"/>
      <c r="J35" s="30" t="inlineStr">
        <is>
          <t>Direct Pi↔Jetson; service loop on the motion run.</t>
        </is>
      </c>
      <c r="K35" s="33" t="n"/>
      <c r="L35" s="33" t="n"/>
      <c r="M35" s="34" t="n"/>
    </row>
    <row r="36" ht="23.85" customHeight="1" s="21">
      <c r="A36" s="29" t="n">
        <v>28</v>
      </c>
      <c r="B36" s="30" t="inlineStr">
        <is>
          <t>Jumper wires (DuPont M-F, M-M)</t>
        </is>
      </c>
      <c r="C36" s="30" t="inlineStr">
        <is>
          <t>—</t>
        </is>
      </c>
      <c r="D36" s="30" t="inlineStr">
        <is>
          <t>generic</t>
        </is>
      </c>
      <c r="E36" s="29" t="n">
        <v>1</v>
      </c>
      <c r="F36" s="31" t="n">
        <v>7</v>
      </c>
      <c r="G36" s="31">
        <f>IF(F36="","",E36*F36)</f>
        <v/>
      </c>
      <c r="H36" s="32" t="inlineStr">
        <is>
          <t>n</t>
        </is>
      </c>
      <c r="I36" s="32" t="n"/>
      <c r="J36" s="30" t="inlineStr">
        <is>
          <t>Signals: IMU, lidar, Pico, switches.</t>
        </is>
      </c>
      <c r="K36" s="33" t="n"/>
      <c r="L36" s="33" t="n"/>
      <c r="M36" s="34" t="n"/>
    </row>
    <row r="37" ht="15" customHeight="1" s="21">
      <c r="A37" s="29" t="n">
        <v>29</v>
      </c>
      <c r="B37" s="30" t="inlineStr">
        <is>
          <t>Hookup wire, 18–20 AWG</t>
        </is>
      </c>
      <c r="C37" s="30" t="inlineStr">
        <is>
          <t>—</t>
        </is>
      </c>
      <c r="D37" s="30" t="inlineStr">
        <is>
          <t>generic</t>
        </is>
      </c>
      <c r="E37" s="29" t="n">
        <v>1</v>
      </c>
      <c r="F37" s="31" t="n">
        <v>10</v>
      </c>
      <c r="G37" s="31">
        <f>IF(F37="","",E37*F37)</f>
        <v/>
      </c>
      <c r="H37" s="32" t="inlineStr">
        <is>
          <t>n</t>
        </is>
      </c>
      <c r="I37" s="32" t="n"/>
      <c r="J37" s="30" t="inlineStr">
        <is>
          <t>Motor, solenoid, power runs.</t>
        </is>
      </c>
      <c r="K37" s="33" t="n"/>
      <c r="L37" s="33" t="n"/>
      <c r="M37" s="34" t="n"/>
    </row>
    <row r="38" ht="23.85" customHeight="1" s="21">
      <c r="A38" s="29" t="n">
        <v>30</v>
      </c>
      <c r="B38" s="30" t="inlineStr">
        <is>
          <t>Wire ferrules / crimp terminals</t>
        </is>
      </c>
      <c r="C38" s="30" t="inlineStr">
        <is>
          <t>—</t>
        </is>
      </c>
      <c r="D38" s="30" t="inlineStr">
        <is>
          <t>generic</t>
        </is>
      </c>
      <c r="E38" s="29" t="n">
        <v>1</v>
      </c>
      <c r="F38" s="31" t="n">
        <v>9</v>
      </c>
      <c r="G38" s="31">
        <f>IF(F38="","",E38*F38)</f>
        <v/>
      </c>
      <c r="H38" s="32" t="inlineStr">
        <is>
          <t>n</t>
        </is>
      </c>
      <c r="I38" s="32" t="n"/>
      <c r="J38" s="30" t="inlineStr">
        <is>
          <t>Driver/terminal terminations.</t>
        </is>
      </c>
      <c r="K38" s="33" t="n"/>
      <c r="L38" s="33" t="n"/>
      <c r="M38" s="34" t="n"/>
    </row>
    <row r="39" ht="15" customHeight="1" s="21">
      <c r="A39" s="28" t="inlineStr">
        <is>
          <t>E.  BUY — CATALOG PARTS</t>
        </is>
      </c>
      <c r="B39" s="23" t="n"/>
      <c r="C39" s="23" t="n"/>
      <c r="D39" s="23" t="n"/>
      <c r="E39" s="23" t="n"/>
      <c r="F39" s="23" t="n"/>
      <c r="G39" s="23" t="n"/>
      <c r="H39" s="23" t="n"/>
      <c r="I39" s="23" t="n"/>
      <c r="J39" s="24" t="n"/>
      <c r="K39" s="28" t="n"/>
      <c r="L39" s="28" t="n"/>
      <c r="M39" s="28" t="n"/>
    </row>
    <row r="40" ht="46.25" customHeight="1" s="21">
      <c r="A40" s="29" t="n">
        <v>31</v>
      </c>
      <c r="B40" s="30" t="inlineStr">
        <is>
          <t>Motor + driver kit</t>
        </is>
      </c>
      <c r="C40" s="30" t="inlineStr">
        <is>
          <t>NEMA 23 closed-loop 3.0 N·m + CL57T V4.1</t>
        </is>
      </c>
      <c r="D40" s="30" t="inlineStr">
        <is>
          <t>23HS45-4204D-E1000 / Amazon B0C6943QBM</t>
        </is>
      </c>
      <c r="E40" s="29" t="n">
        <v>2</v>
      </c>
      <c r="F40" s="31" t="n">
        <v>85.98999999999999</v>
      </c>
      <c r="G40" s="31">
        <f>IF(F40="","",E40*F40)</f>
        <v/>
      </c>
      <c r="H40" s="32" t="inlineStr">
        <is>
          <t>n</t>
        </is>
      </c>
      <c r="I40" s="32" t="inlineStr">
        <is>
          <t>n</t>
        </is>
      </c>
      <c r="J40" s="30" t="inlineStr">
        <is>
          <t>STEPPERONLINE Closed Loop Stepper Motor 1 Axis CNC KIT 2.0 Nm/283.28oz.in Nema 23 Motor &amp; 0-8.0A 24-48VDC Closed Loop Stepper Driver CL57T V4.1</t>
        </is>
      </c>
      <c r="K40" s="33" t="inlineStr">
        <is>
          <t>na</t>
        </is>
      </c>
      <c r="L40" s="33" t="inlineStr">
        <is>
          <t>amazon</t>
        </is>
      </c>
      <c r="M40" s="34" t="n"/>
    </row>
    <row r="41" ht="46.25" customHeight="1" s="21">
      <c r="A41" s="29" t="n">
        <v>32</v>
      </c>
      <c r="B41" s="30" t="inlineStr">
        <is>
          <t>Planetary gearbox 5:1</t>
        </is>
      </c>
      <c r="C41" s="30" t="inlineStr">
        <is>
          <t>NEMA 23, Ø8 bore, 15 arcmin; out Ø14 / Ø40 reg / 4×Ø5.2@47.14</t>
        </is>
      </c>
      <c r="D41" s="30" t="inlineStr">
        <is>
          <t>Ratio 5:1 Nema 23 … φ8mm</t>
        </is>
      </c>
      <c r="E41" s="29" t="n">
        <v>2</v>
      </c>
      <c r="F41" s="31" t="n">
        <v>57.99</v>
      </c>
      <c r="G41" s="31">
        <f>IF(F41="","",E41*F41)</f>
        <v/>
      </c>
      <c r="H41" s="32" t="inlineStr">
        <is>
          <t>n</t>
        </is>
      </c>
      <c r="I41" s="32" t="inlineStr">
        <is>
          <t>y</t>
        </is>
      </c>
      <c r="J41" s="30" t="inlineStr">
        <is>
          <t>Ratio 5:1 Planetary Gearbox for Nema 23 Stepper Motor 57-67mm Backlash 15 arcmin Input Shaft 21mm φ8mm Planetary Reducer for 57 Step Motor</t>
        </is>
      </c>
      <c r="K41" s="33" t="inlineStr">
        <is>
          <t>na</t>
        </is>
      </c>
      <c r="L41" s="33" t="inlineStr">
        <is>
          <t>amazon</t>
        </is>
      </c>
      <c r="M41" s="34" t="n"/>
    </row>
    <row r="42" ht="35.05" customHeight="1" s="21">
      <c r="A42" s="29" t="n">
        <v>33</v>
      </c>
      <c r="B42" s="30" t="inlineStr">
        <is>
          <t>Turntable bearing (lazy susan)</t>
        </is>
      </c>
      <c r="C42" s="30" t="inlineStr">
        <is>
          <t>Heavy-duty steel/alu, OPEN center, 6–8 in</t>
        </is>
      </c>
      <c r="D42" s="30" t="inlineStr">
        <is>
          <t>Search "turntable bearing" / "lazy susan bearing" · McMaster: Ball Bearing Turntables</t>
        </is>
      </c>
      <c r="E42" s="29" t="n">
        <v>1</v>
      </c>
      <c r="F42" s="31" t="n">
        <v>20</v>
      </c>
      <c r="G42" s="31">
        <f>IF(F42="","",E42*F42)</f>
        <v/>
      </c>
      <c r="H42" s="32" t="inlineStr">
        <is>
          <t>y</t>
        </is>
      </c>
      <c r="I42" s="35" t="inlineStr">
        <is>
          <t>n</t>
        </is>
      </c>
      <c r="J42" s="36" t="inlineStr">
        <is>
          <t>8INCH-SWIVEL-LAZY-SUSAN</t>
        </is>
      </c>
      <c r="K42" s="37" t="n">
        <v>193019173251</v>
      </c>
      <c r="L42" s="33" t="n"/>
      <c r="M42" s="34" t="inlineStr">
        <is>
          <t>https://vxb.com/checkouts/cn/hWNDQZKNqS7FLBgAANhKclaa/en-us/thank-you?_r=AQABSTga-mN3Yrg_UjagK1rtzQSFz0x6rcQo9Jd1a6PLjnA&amp;skip_shop_pay=true</t>
        </is>
      </c>
    </row>
    <row r="43" ht="15" customHeight="1" s="21">
      <c r="A43" s="29" t="n">
        <v>34</v>
      </c>
      <c r="B43" s="30" t="inlineStr">
        <is>
          <t>Mounted ball bearing (tilt)</t>
        </is>
      </c>
      <c r="C43" s="30" t="inlineStr">
        <is>
          <t>Flange-mount or pillow block; bore = pin Ø (e.g. 1/2")</t>
        </is>
      </c>
      <c r="D43" s="30" t="inlineStr">
        <is>
          <t>McMaster: "mounted ball bearing"</t>
        </is>
      </c>
      <c r="E43" s="29" t="n">
        <v>1</v>
      </c>
      <c r="F43" s="31" t="n">
        <v>15</v>
      </c>
      <c r="G43" s="31">
        <f>IF(F43="","",E43*F43)</f>
        <v/>
      </c>
      <c r="H43" s="32" t="inlineStr">
        <is>
          <t>y</t>
        </is>
      </c>
      <c r="I43" s="35" t="inlineStr">
        <is>
          <t>n</t>
        </is>
      </c>
      <c r="J43" s="30" t="inlineStr">
        <is>
          <t>Match pattern to plate 05</t>
        </is>
      </c>
      <c r="K43" s="33" t="inlineStr">
        <is>
          <t>5968K71</t>
        </is>
      </c>
      <c r="L43" s="33" t="n"/>
      <c r="M43" s="34" t="inlineStr">
        <is>
          <t>https://www.mcmaster.com/products/mounted-ball-bearings/mounted-ball-bearings-with-two-bolt-flange~~/mounted-bearing-type~two-bolt-flange-mount/</t>
        </is>
      </c>
    </row>
    <row r="44" ht="15" customHeight="1" s="21">
      <c r="A44" s="29" t="n">
        <v>35</v>
      </c>
      <c r="B44" s="30" t="inlineStr">
        <is>
          <t>Mounting hub</t>
        </is>
      </c>
      <c r="C44" s="30" t="inlineStr">
        <is>
          <t>Clamps gearbox Ø14 shaft → bolts to plate; bore 14 mm</t>
        </is>
      </c>
      <c r="D44" s="30" t="inlineStr">
        <is>
          <t>McMaster: "mounting hub" · Ruland</t>
        </is>
      </c>
      <c r="E44" s="29" t="n">
        <v>2</v>
      </c>
      <c r="F44" s="31" t="n">
        <v>18</v>
      </c>
      <c r="G44" s="31">
        <f>IF(F44="","",E44*F44)</f>
        <v/>
      </c>
      <c r="H44" s="32" t="inlineStr">
        <is>
          <t>n</t>
        </is>
      </c>
      <c r="I44" s="32" t="inlineStr">
        <is>
          <t>y</t>
        </is>
      </c>
      <c r="J44" s="30" t="inlineStr">
        <is>
          <t>Or rigid shaft coupling; no keyway</t>
        </is>
      </c>
      <c r="K44" s="33" t="inlineStr">
        <is>
          <t>FHT-MCL-14-SS</t>
        </is>
      </c>
      <c r="L44" s="33" t="n"/>
      <c r="M44" s="34" t="inlineStr">
        <is>
          <t>https://www.ruland.com/fht-mcl-14-ss.html#</t>
        </is>
      </c>
    </row>
    <row r="45" ht="15" customHeight="1" s="21">
      <c r="A45" s="29" t="n">
        <v>36</v>
      </c>
      <c r="B45" s="30" t="inlineStr">
        <is>
          <t>Shoulder screw (tilt pin)</t>
        </is>
      </c>
      <c r="C45" s="30" t="inlineStr">
        <is>
          <t>Shoulder Ø = #34 bearing bore (e.g. 1/2")</t>
        </is>
      </c>
      <c r="D45" s="30" t="inlineStr">
        <is>
          <t>McMaster: "shoulder screw"</t>
        </is>
      </c>
      <c r="E45" s="29" t="n">
        <v>1</v>
      </c>
      <c r="F45" s="31" t="n">
        <v>8</v>
      </c>
      <c r="G45" s="31">
        <f>IF(F45="","",E45*F45)</f>
        <v/>
      </c>
      <c r="H45" s="32" t="inlineStr">
        <is>
          <t>n</t>
        </is>
      </c>
      <c r="I45" s="32" t="inlineStr">
        <is>
          <t>y</t>
        </is>
      </c>
      <c r="J45" s="30" t="inlineStr">
        <is>
          <t>Far end of tilt axis; pairs with #34</t>
        </is>
      </c>
      <c r="K45" s="33" t="inlineStr">
        <is>
          <t>90298A716</t>
        </is>
      </c>
      <c r="L45" s="33" t="n"/>
      <c r="M45" s="34" t="inlineStr">
        <is>
          <t>https://www.mcmaster.com/products/shoulder-screws/shoulder-diameter~1-2/shoulder-length~1-1-2/</t>
        </is>
      </c>
    </row>
    <row r="46" ht="15" customHeight="1" s="21">
      <c r="A46" s="29" t="n">
        <v>37</v>
      </c>
      <c r="B46" s="30" t="inlineStr">
        <is>
          <t>L-brackets / gussets</t>
        </is>
      </c>
      <c r="C46" s="30" t="inlineStr">
        <is>
          <t>Join yoke side-plates to turntable + stiffen</t>
        </is>
      </c>
      <c r="D46" s="30" t="inlineStr">
        <is>
          <t>8020 / McMaster</t>
        </is>
      </c>
      <c r="E46" s="29" t="n">
        <v>8</v>
      </c>
      <c r="F46" s="31" t="n">
        <v>4</v>
      </c>
      <c r="G46" s="31">
        <f>IF(F46="","",E46*F46)</f>
        <v/>
      </c>
      <c r="H46" s="32" t="inlineStr">
        <is>
          <t>n</t>
        </is>
      </c>
      <c r="I46" s="32" t="inlineStr">
        <is>
          <t>n</t>
        </is>
      </c>
      <c r="J46" s="30" t="inlineStr">
        <is>
          <t>Bolt-together corners</t>
        </is>
      </c>
      <c r="K46" s="38" t="inlineStr">
        <is>
          <t>marker scan</t>
        </is>
      </c>
      <c r="L46" s="33" t="n"/>
      <c r="M46" s="34" t="inlineStr">
        <is>
          <t>https://www.mcmaster.com/products/l-brackets/brackets-1~/</t>
        </is>
      </c>
    </row>
    <row r="47" ht="15" customHeight="1" s="21">
      <c r="A47" s="29" t="n">
        <v>38</v>
      </c>
      <c r="B47" s="30" t="inlineStr">
        <is>
          <t>Standoffs</t>
        </is>
      </c>
      <c r="C47" s="30" t="inlineStr">
        <is>
          <t>M5, raise base plate over tripod adapter</t>
        </is>
      </c>
      <c r="D47" s="30" t="inlineStr">
        <is>
          <t>McMaster</t>
        </is>
      </c>
      <c r="E47" s="29" t="n">
        <v>4</v>
      </c>
      <c r="F47" s="31" t="n">
        <v>3</v>
      </c>
      <c r="G47" s="31">
        <f>IF(F47="","",E47*F47)</f>
        <v/>
      </c>
      <c r="H47" s="32" t="inlineStr">
        <is>
          <t>n</t>
        </is>
      </c>
      <c r="I47" s="32" t="inlineStr">
        <is>
          <t>n</t>
        </is>
      </c>
      <c r="J47" s="30" t="inlineStr">
        <is>
          <t>Length = motor/gbx clearance</t>
        </is>
      </c>
      <c r="K47" s="38" t="inlineStr">
        <is>
          <t>marker scan</t>
        </is>
      </c>
      <c r="L47" s="33" t="n"/>
      <c r="M47" s="34" t="n"/>
    </row>
    <row r="48" ht="15" customHeight="1" s="21">
      <c r="A48" s="29" t="n">
        <v>39</v>
      </c>
      <c r="B48" s="30" t="inlineStr">
        <is>
          <t>Pico RP2040</t>
        </is>
      </c>
      <c r="C48" s="30" t="inlineStr">
        <is>
          <t>Motion coprocessor (step/dir)</t>
        </is>
      </c>
      <c r="D48" s="30" t="inlineStr">
        <is>
          <t>Raspberry Pi Pico</t>
        </is>
      </c>
      <c r="E48" s="29" t="n">
        <v>1</v>
      </c>
      <c r="F48" s="31" t="n">
        <v>5</v>
      </c>
      <c r="G48" s="31">
        <f>IF(F48="","",E48*F48)</f>
        <v/>
      </c>
      <c r="H48" s="32" t="inlineStr">
        <is>
          <t>n</t>
        </is>
      </c>
      <c r="I48" s="32" t="inlineStr">
        <is>
          <t>n</t>
        </is>
      </c>
      <c r="J48" s="30" t="inlineStr">
        <is>
          <t>Drives both CL57T</t>
        </is>
      </c>
      <c r="K48" s="38" t="inlineStr">
        <is>
          <t>marker scan</t>
        </is>
      </c>
      <c r="L48" s="33" t="n"/>
      <c r="M48" s="34" t="n"/>
    </row>
    <row r="49" ht="35.05" customHeight="1" s="21">
      <c r="A49" s="29" t="n">
        <v>40</v>
      </c>
      <c r="B49" s="30" t="inlineStr">
        <is>
          <t>Power supply 24–48 V</t>
        </is>
      </c>
      <c r="C49" s="30" t="inlineStr">
        <is>
          <t>48 V, 5–10 A</t>
        </is>
      </c>
      <c r="D49" s="30" t="inlineStr">
        <is>
          <t>select</t>
        </is>
      </c>
      <c r="E49" s="29" t="n">
        <v>1</v>
      </c>
      <c r="F49" s="31" t="n">
        <v>40</v>
      </c>
      <c r="G49" s="31">
        <f>IF(F49="","",E49*F49)</f>
        <v/>
      </c>
      <c r="H49" s="32" t="inlineStr">
        <is>
          <t>n</t>
        </is>
      </c>
      <c r="I49" s="32" t="inlineStr">
        <is>
          <t>n</t>
        </is>
      </c>
      <c r="J49" s="30" t="inlineStr">
        <is>
          <t>DROK 48V Power Supply, AC to DC Converter 0-48V 10A 480W Variable Power Supply, AC to DC Adapter Low Voltage Transformer</t>
        </is>
      </c>
      <c r="K49" s="33" t="inlineStr">
        <is>
          <t>na</t>
        </is>
      </c>
      <c r="L49" s="33" t="inlineStr">
        <is>
          <t>amazon</t>
        </is>
      </c>
      <c r="M49" s="34" t="n"/>
    </row>
    <row r="50" ht="15" customHeight="1" s="21">
      <c r="A50" s="29" t="n">
        <v>41</v>
      </c>
      <c r="B50" s="30" t="inlineStr">
        <is>
          <t>Fasteners + NUTS</t>
        </is>
      </c>
      <c r="C50" s="30" t="inlineStr">
        <is>
          <t>M5/M6/M3 SHCS, nuts, washers (clearance-hole build)</t>
        </is>
      </c>
      <c r="D50" s="30" t="inlineStr">
        <is>
          <t>McMaster / assorted</t>
        </is>
      </c>
      <c r="E50" s="29" t="n">
        <v>1</v>
      </c>
      <c r="F50" s="31" t="n">
        <v>35</v>
      </c>
      <c r="G50" s="31">
        <f>IF(F50="","",E50*F50)</f>
        <v/>
      </c>
      <c r="H50" s="32" t="inlineStr">
        <is>
          <t>n</t>
        </is>
      </c>
      <c r="I50" s="32" t="inlineStr">
        <is>
          <t>n</t>
        </is>
      </c>
      <c r="J50" s="30" t="inlineStr">
        <is>
          <t>Nuts replace tapping</t>
        </is>
      </c>
      <c r="K50" s="37" t="inlineStr">
        <is>
          <t>92275A110</t>
        </is>
      </c>
      <c r="L50" s="33" t="n"/>
      <c r="M50" s="34" t="inlineStr">
        <is>
          <t>https://www.mcmaster.com/products/socket-head-cap-screw-assortments/system-of-measurement~metric/</t>
        </is>
      </c>
    </row>
    <row r="51" ht="15" customHeight="1" s="21">
      <c r="A51" s="29" t="n">
        <v>42</v>
      </c>
      <c r="B51" s="30" t="inlineStr">
        <is>
          <t>Dowel pins</t>
        </is>
      </c>
      <c r="C51" s="30" t="inlineStr">
        <is>
          <t>Ø4 mm (PA-4 interface)</t>
        </is>
      </c>
      <c r="D51" s="30" t="inlineStr">
        <is>
          <t>McMaster</t>
        </is>
      </c>
      <c r="E51" s="29" t="n">
        <v>1</v>
      </c>
      <c r="F51" s="31" t="n">
        <v>8</v>
      </c>
      <c r="G51" s="31">
        <f>IF(F51="","",E51*F51)</f>
        <v/>
      </c>
      <c r="H51" s="32" t="inlineStr">
        <is>
          <t>n</t>
        </is>
      </c>
      <c r="I51" s="32" t="inlineStr">
        <is>
          <t>y</t>
        </is>
      </c>
      <c r="J51" s="30" t="inlineStr">
        <is>
          <t>Reamed-fit</t>
        </is>
      </c>
      <c r="K51" s="37" t="inlineStr">
        <is>
          <t>91595A161</t>
        </is>
      </c>
      <c r="L51" s="33" t="n"/>
      <c r="M51" s="34" t="inlineStr">
        <is>
          <t>https://www.mcmaster.com/products/dowel-pins/dowel-pins-1~~/system-of-measurement~metric/diameter~4-0000-mm/diameter~4-000-mm/diameter~4-mm/</t>
        </is>
      </c>
    </row>
    <row r="52" ht="15" customHeight="1" s="21">
      <c r="A52" s="29" t="n">
        <v>43</v>
      </c>
      <c r="B52" s="30" t="inlineStr">
        <is>
          <t>Consumables</t>
        </is>
      </c>
      <c r="C52" s="30" t="inlineStr">
        <is>
          <t>Threadlocker (medium) + anti-seize</t>
        </is>
      </c>
      <c r="D52" s="30" t="inlineStr">
        <is>
          <t>—</t>
        </is>
      </c>
      <c r="E52" s="29" t="n">
        <v>1</v>
      </c>
      <c r="F52" s="31" t="n">
        <v>12</v>
      </c>
      <c r="G52" s="31">
        <f>IF(F52="","",E52*F52)</f>
        <v/>
      </c>
      <c r="H52" s="32" t="inlineStr">
        <is>
          <t>n</t>
        </is>
      </c>
      <c r="I52" s="32" t="inlineStr">
        <is>
          <t>n</t>
        </is>
      </c>
      <c r="J52" s="36" t="inlineStr">
        <is>
          <t>Loctite 243 kits</t>
        </is>
      </c>
      <c r="K52" s="37" t="inlineStr">
        <is>
          <t>7458A65</t>
        </is>
      </c>
      <c r="L52" s="33" t="n"/>
      <c r="M52" s="34" t="inlineStr">
        <is>
          <t>https://www.mcmaster.com/products/loctite-kits/manufacturer-model-number~243/</t>
        </is>
      </c>
    </row>
    <row r="53" ht="15" customHeight="1" s="21">
      <c r="A53" s="28" t="inlineStr">
        <is>
          <t>F.  CUT — DXF FLAT PLATES (6061-T6; files supplied; one SendCutSend order)</t>
        </is>
      </c>
      <c r="B53" s="23" t="n"/>
      <c r="C53" s="23" t="n"/>
      <c r="D53" s="23" t="n"/>
      <c r="E53" s="23" t="n"/>
      <c r="F53" s="23" t="n"/>
      <c r="G53" s="23" t="n"/>
      <c r="H53" s="23" t="n"/>
      <c r="I53" s="23" t="n"/>
      <c r="J53" s="24" t="n"/>
      <c r="K53" s="28" t="n"/>
      <c r="L53" s="28" t="n"/>
      <c r="M53" s="28" t="n"/>
    </row>
    <row r="54" ht="15" customHeight="1" s="21">
      <c r="A54" s="29" t="n">
        <v>44</v>
      </c>
      <c r="B54" s="30" t="inlineStr">
        <is>
          <t>Pan base plate</t>
        </is>
      </c>
      <c r="C54" s="30" t="inlineStr">
        <is>
          <t>6 mm; file 02_base_plate_pan.dxf</t>
        </is>
      </c>
      <c r="D54" s="30" t="inlineStr">
        <is>
          <t>DXF</t>
        </is>
      </c>
      <c r="E54" s="29" t="n">
        <v>1</v>
      </c>
      <c r="F54" s="31" t="n">
        <v>28</v>
      </c>
      <c r="G54" s="31">
        <f>IF(F54="","",E54*F54)</f>
        <v/>
      </c>
      <c r="H54" s="39" t="inlineStr">
        <is>
          <t>Cut (DXF)</t>
        </is>
      </c>
      <c r="I54" s="39" t="n"/>
      <c r="J54" s="30" t="inlineStr">
        <is>
          <t>Gearbox + slew bearing + standoffs</t>
        </is>
      </c>
      <c r="K54" s="33" t="n"/>
      <c r="L54" s="33" t="n"/>
      <c r="M54" s="34" t="n"/>
    </row>
    <row r="55" ht="15" customHeight="1" s="21">
      <c r="A55" s="29" t="n">
        <v>45</v>
      </c>
      <c r="B55" s="30" t="inlineStr">
        <is>
          <t>Turntable plate</t>
        </is>
      </c>
      <c r="C55" s="30" t="inlineStr">
        <is>
          <t>6 mm; file 03_turntable_plate.dxf</t>
        </is>
      </c>
      <c r="D55" s="30" t="inlineStr">
        <is>
          <t>DXF</t>
        </is>
      </c>
      <c r="E55" s="29" t="n">
        <v>1</v>
      </c>
      <c r="F55" s="31" t="n">
        <v>28</v>
      </c>
      <c r="G55" s="31">
        <f>IF(F55="","",E55*F55)</f>
        <v/>
      </c>
      <c r="H55" s="39" t="inlineStr">
        <is>
          <t>Cut (DXF)</t>
        </is>
      </c>
      <c r="I55" s="39" t="n"/>
      <c r="J55" s="30" t="inlineStr">
        <is>
          <t>Slew bearing + yoke feet</t>
        </is>
      </c>
      <c r="K55" s="33" t="n"/>
      <c r="L55" s="33" t="n"/>
      <c r="M55" s="34" t="n"/>
    </row>
    <row r="56" ht="15" customHeight="1" s="21">
      <c r="A56" s="29" t="n">
        <v>46</v>
      </c>
      <c r="B56" s="30" t="inlineStr">
        <is>
          <t>Yoke side — gearbox</t>
        </is>
      </c>
      <c r="C56" s="30" t="inlineStr">
        <is>
          <t>6 mm; file 04_yoke_side_gearbox.dxf</t>
        </is>
      </c>
      <c r="D56" s="30" t="inlineStr">
        <is>
          <t>DXF</t>
        </is>
      </c>
      <c r="E56" s="29" t="n">
        <v>1</v>
      </c>
      <c r="F56" s="31" t="n">
        <v>25</v>
      </c>
      <c r="G56" s="31">
        <f>IF(F56="","",E56*F56)</f>
        <v/>
      </c>
      <c r="H56" s="39" t="inlineStr">
        <is>
          <t>Cut (DXF)</t>
        </is>
      </c>
      <c r="I56" s="39" t="n"/>
      <c r="J56" s="30" t="inlineStr">
        <is>
          <t>Gearbox flange</t>
        </is>
      </c>
      <c r="K56" s="33" t="n"/>
      <c r="L56" s="33" t="n"/>
      <c r="M56" s="34" t="n"/>
    </row>
    <row r="57" ht="15" customHeight="1" s="21">
      <c r="A57" s="29" t="n">
        <v>47</v>
      </c>
      <c r="B57" s="30" t="inlineStr">
        <is>
          <t>Yoke side — trunnion</t>
        </is>
      </c>
      <c r="C57" s="30" t="inlineStr">
        <is>
          <t>6 mm; file 05_yoke_side_trunnion.dxf</t>
        </is>
      </c>
      <c r="D57" s="30" t="inlineStr">
        <is>
          <t>DXF</t>
        </is>
      </c>
      <c r="E57" s="29" t="n">
        <v>1</v>
      </c>
      <c r="F57" s="31" t="n">
        <v>25</v>
      </c>
      <c r="G57" s="31">
        <f>IF(F57="","",E57*F57)</f>
        <v/>
      </c>
      <c r="H57" s="39" t="inlineStr">
        <is>
          <t>Cut (DXF)</t>
        </is>
      </c>
      <c r="I57" s="39" t="n"/>
      <c r="J57" s="30" t="inlineStr">
        <is>
          <t>Pillow-block bearing</t>
        </is>
      </c>
      <c r="K57" s="33" t="n"/>
      <c r="L57" s="33" t="n"/>
      <c r="M57" s="34" t="n"/>
    </row>
    <row r="58" ht="15" customHeight="1" s="21">
      <c r="A58" s="29" t="n">
        <v>48</v>
      </c>
      <c r="B58" s="30" t="inlineStr">
        <is>
          <t>Interface plate (PA-4)</t>
        </is>
      </c>
      <c r="C58" s="30" t="inlineStr">
        <is>
          <t>6 mm; file 01_interface_plate_PA4.dxf</t>
        </is>
      </c>
      <c r="D58" s="30" t="inlineStr">
        <is>
          <t>DXF</t>
        </is>
      </c>
      <c r="E58" s="29" t="n">
        <v>1</v>
      </c>
      <c r="F58" s="31" t="n">
        <v>28</v>
      </c>
      <c r="G58" s="31">
        <f>IF(F58="","",E58*F58)</f>
        <v/>
      </c>
      <c r="H58" s="39" t="inlineStr">
        <is>
          <t>Cut (DXF)</t>
        </is>
      </c>
      <c r="I58" s="39" t="n"/>
      <c r="J58" s="30" t="inlineStr">
        <is>
          <t>Payload mount (Ø70 BC/dowels/Ø14)</t>
        </is>
      </c>
      <c r="K58" s="33" t="n"/>
      <c r="L58" s="33" t="n"/>
      <c r="M58" s="34" t="n"/>
    </row>
    <row r="59" ht="15" customHeight="1" s="21">
      <c r="A59" s="29" t="n">
        <v>49</v>
      </c>
      <c r="B59" s="30" t="inlineStr">
        <is>
          <t>Tripod adapter</t>
        </is>
      </c>
      <c r="C59" s="30" t="inlineStr">
        <is>
          <t>6 mm; file 06_tripod_adapter.dxf</t>
        </is>
      </c>
      <c r="D59" s="30" t="inlineStr">
        <is>
          <t>DXF</t>
        </is>
      </c>
      <c r="E59" s="29" t="n">
        <v>1</v>
      </c>
      <c r="F59" s="31" t="n">
        <v>25</v>
      </c>
      <c r="G59" s="31">
        <f>IF(F59="","",E59*F59)</f>
        <v/>
      </c>
      <c r="H59" s="39" t="inlineStr">
        <is>
          <t>Cut (DXF)</t>
        </is>
      </c>
      <c r="I59" s="39" t="n"/>
      <c r="J59" s="30" t="inlineStr">
        <is>
          <t>Mates your tripod head</t>
        </is>
      </c>
      <c r="K59" s="33" t="n"/>
      <c r="L59" s="33" t="n"/>
      <c r="M59" s="34" t="n"/>
    </row>
    <row r="60" ht="15" customHeight="1" s="21">
      <c r="A60" s="28" t="inlineStr">
        <is>
          <t>G.  HAVE</t>
        </is>
      </c>
      <c r="B60" s="23" t="n"/>
      <c r="C60" s="23" t="n"/>
      <c r="D60" s="23" t="n"/>
      <c r="E60" s="23" t="n"/>
      <c r="F60" s="23" t="n"/>
      <c r="G60" s="23" t="n"/>
      <c r="H60" s="23" t="n"/>
      <c r="I60" s="23" t="n"/>
      <c r="J60" s="24" t="n"/>
      <c r="K60" s="28" t="n"/>
      <c r="L60" s="28" t="n"/>
      <c r="M60" s="28" t="n"/>
    </row>
    <row r="61" ht="15" customHeight="1" s="21">
      <c r="A61" s="29" t="n">
        <v>50</v>
      </c>
      <c r="B61" s="30" t="inlineStr">
        <is>
          <t>Tripod</t>
        </is>
      </c>
      <c r="C61" s="30" t="inlineStr">
        <is>
          <t>35 lb (you own)</t>
        </is>
      </c>
      <c r="D61" s="30" t="inlineStr">
        <is>
          <t>—</t>
        </is>
      </c>
      <c r="E61" s="29" t="n">
        <v>1</v>
      </c>
      <c r="F61" s="31" t="n">
        <v>0</v>
      </c>
      <c r="G61" s="31">
        <f>IF(F61="","",E61*F61)</f>
        <v/>
      </c>
      <c r="H61" s="40" t="inlineStr">
        <is>
          <t>Have</t>
        </is>
      </c>
      <c r="I61" s="40" t="n"/>
      <c r="J61" s="30" t="inlineStr">
        <is>
          <t>Watch flex under fast slews; confirm bowl</t>
        </is>
      </c>
      <c r="K61" s="33" t="n"/>
      <c r="L61" s="34" t="n"/>
      <c r="M61" s="34" t="n"/>
    </row>
    <row r="63" ht="15" customHeight="1" s="21">
      <c r="F63" s="41" t="inlineStr">
        <is>
          <t>Grand total (to-buy):</t>
        </is>
      </c>
      <c r="G63" s="42">
        <f>SUM(G6:G61)</f>
        <v/>
      </c>
    </row>
    <row r="64" ht="15" customHeight="1" s="21">
      <c r="F64" s="41" t="inlineStr">
        <is>
          <t xml:space="preserve">  Electronics &amp; payload (A–D):</t>
        </is>
      </c>
      <c r="G64" s="42">
        <f>SUM(G6:G38)</f>
        <v/>
      </c>
    </row>
    <row r="65" ht="15" customHeight="1" s="21">
      <c r="F65" s="41" t="inlineStr">
        <is>
          <t xml:space="preserve">  Gimbal — catalog (E):</t>
        </is>
      </c>
      <c r="G65" s="42">
        <f>SUM(G40:G52)</f>
        <v/>
      </c>
    </row>
    <row r="66" ht="15" customHeight="1" s="21">
      <c r="F66" s="41" t="inlineStr">
        <is>
          <t xml:space="preserve">  Gimbal — DXF plates (F):</t>
        </is>
      </c>
      <c r="G66" s="42">
        <f>SUM(G54:G59)</f>
        <v/>
      </c>
    </row>
  </sheetData>
  <mergeCells count="9">
    <mergeCell ref="A5:J5"/>
    <mergeCell ref="A32:J32"/>
    <mergeCell ref="A1:M1"/>
    <mergeCell ref="A39:J39"/>
    <mergeCell ref="A53:J53"/>
    <mergeCell ref="A15:J15"/>
    <mergeCell ref="A26:J26"/>
    <mergeCell ref="A2:M2"/>
    <mergeCell ref="A60:J6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2026-06-19T04:14:36Z</dcterms:created>
  <dcterms:modified xmlns:dcterms="http://purl.org/dc/terms/" xmlns:xsi="http://www.w3.org/2001/XMLSchema-instance" xsi:type="dcterms:W3CDTF">2026-06-21T16:03:15+00:00Z</dcterms:modified>
  <cp:revision>0</cp:revision>
</cp:coreProperties>
</file>