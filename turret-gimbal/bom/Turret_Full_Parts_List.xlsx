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  <sheet name="Connection Map" sheetId="2" state="visible" r:id="rId4"/>
    <sheet name="Integration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<sst xmlns="http://schemas.openxmlformats.org/spreadsheetml/2006/main" count="240" uniqueCount="198">
  <si>
    <t xml:space="preserve">Item</t>
  </si>
  <si>
    <t xml:space="preserve">Part No. / SKU</t>
  </si>
  <si>
    <t xml:space="preserve">Protocol / Connection</t>
  </si>
  <si>
    <t xml:space="preserve">Qty</t>
  </si>
  <si>
    <t xml:space="preserve">Unit $ (approx)</t>
  </si>
  <si>
    <t xml:space="preserve">Have?</t>
  </si>
  <si>
    <t xml:space="preserve">To-Buy Ext.</t>
  </si>
  <si>
    <t xml:space="preserve">Purpose / Notes</t>
  </si>
  <si>
    <t xml:space="preserve">COMPUTE</t>
  </si>
  <si>
    <t xml:space="preserve">Raspberry Pi 5 (8GB)</t>
  </si>
  <si>
    <t xml:space="preserve">SC1112</t>
  </si>
  <si>
    <t xml:space="preserve">-</t>
  </si>
  <si>
    <t xml:space="preserve">Supervisor: setpoints, IMU/lidar, arming, state.</t>
  </si>
  <si>
    <t xml:space="preserve">Pi 5 Active Cooler</t>
  </si>
  <si>
    <t xml:space="preserve">SC1148</t>
  </si>
  <si>
    <t xml:space="preserve">Pi5 throttles without it.</t>
  </si>
  <si>
    <t xml:space="preserve">Official 27W USB-C PD supply (5.1V/5A)</t>
  </si>
  <si>
    <t xml:space="preserve">SC1158 (US, blk)</t>
  </si>
  <si>
    <t xml:space="preserve">USB-C</t>
  </si>
  <si>
    <t xml:space="preserve">Powers the Pi + HAT reliably.</t>
  </si>
  <si>
    <t xml:space="preserve">microSD 64GB A2 (Pi)</t>
  </si>
  <si>
    <t xml:space="preserve">SanDisk SDSQXAV-064G</t>
  </si>
  <si>
    <t xml:space="preserve">Pi OS/boot.</t>
  </si>
  <si>
    <t xml:space="preserve">NVIDIA Jetson AGX Orin 32GB (module)</t>
  </si>
  <si>
    <t xml:space="preserve">AGX Orin 32GB</t>
  </si>
  <si>
    <t xml:space="preserve">Y</t>
  </si>
  <si>
    <t xml:space="preserve">Owned. Vision/targeting on the tripod.</t>
  </si>
  <si>
    <t xml:space="preserve">PERCEPTION (Jetson side)</t>
  </si>
  <si>
    <t xml:space="preserve">ZED 2i stereo camera (4mm, polarizer)</t>
  </si>
  <si>
    <t xml:space="preserve">Stereolabs ZED 2i 4mm</t>
  </si>
  <si>
    <t xml:space="preserve">USB 3.0</t>
  </si>
  <si>
    <t xml:space="preserve">Owned. The vision system. To the Jetson, not the Pi.</t>
  </si>
  <si>
    <t xml:space="preserve">ZED USB3 Type-C locking cable (3m)</t>
  </si>
  <si>
    <t xml:space="preserve">Stereolabs ZED USB3 3m</t>
  </si>
  <si>
    <t xml:space="preserve">Owned.</t>
  </si>
  <si>
    <t xml:space="preserve">MOTION / PAN-TILT  (NEW - replaces Vidpro head + motor HAT)</t>
  </si>
  <si>
    <t xml:space="preserve">NEMA 23 closed-loop stepper (encoder, ~3 Nm)</t>
  </si>
  <si>
    <t xml:space="preserve">NEMA23 CL ~3Nm</t>
  </si>
  <si>
    <t xml:space="preserve">via driver</t>
  </si>
  <si>
    <t xml:space="preserve">Pan + tilt. Encoder closes the loop - no lost steps under recoil.</t>
  </si>
  <si>
    <t xml:space="preserve">Closed-loop stepper driver (CL57-class, 24-48V)</t>
  </si>
  <si>
    <t xml:space="preserve">CL57-class</t>
  </si>
  <si>
    <t xml:space="preserve">step/dir/enable</t>
  </si>
  <si>
    <t xml:space="preserve">One per axis; reads the motor encoder.</t>
  </si>
  <si>
    <t xml:space="preserve">Planetary gearbox, NEMA 23, ~5:1 low-backlash</t>
  </si>
  <si>
    <t xml:space="preserve">planetary 5:1</t>
  </si>
  <si>
    <t xml:space="preserve">~15 Nm at axis, low backlash. Worm option on tilt for self-locking holding.</t>
  </si>
  <si>
    <t xml:space="preserve">Pan slewing / thrust bearing</t>
  </si>
  <si>
    <t xml:space="preserve">slew/thrust brg</t>
  </si>
  <si>
    <t xml:space="preserve">Carries payload + moment loads OFF the motor shaft.</t>
  </si>
  <si>
    <t xml:space="preserve">Tilt shaft + bearing blocks (pair)</t>
  </si>
  <si>
    <t xml:space="preserve">pillow blocks</t>
  </si>
  <si>
    <t xml:space="preserve">Horizontal tilt-axis support.</t>
  </si>
  <si>
    <t xml:space="preserve">Pan-tilt structural hardware (frame/yoke or rotary table)</t>
  </si>
  <si>
    <t xml:space="preserve">ServoCity Actobotics (rep.)</t>
  </si>
  <si>
    <t xml:space="preserve">Metal in the load path. Pre-made kit cuts fab. Printed platform bolts to the tilt axis.</t>
  </si>
  <si>
    <t xml:space="preserve">Motion coprocessor - Raspberry Pi Pico (RP2040)</t>
  </si>
  <si>
    <t xml:space="preserve">Pico SC0915</t>
  </si>
  <si>
    <t xml:space="preserve">UART/SPI to Pi</t>
  </si>
  <si>
    <t xml:space="preserve">Real-time step/dir + motion profiles + homing. Don't bit-bang steps from Linux.</t>
  </si>
  <si>
    <t xml:space="preserve">Limit / homing switches</t>
  </si>
  <si>
    <t xml:space="preserve">microswitch</t>
  </si>
  <si>
    <t xml:space="preserve">GPIO (Pico)</t>
  </si>
  <si>
    <t xml:space="preserve">One per axis -&gt; power-up homing -&gt; absolute aiming.</t>
  </si>
  <si>
    <t xml:space="preserve">TRIGGER (Pi side)</t>
  </si>
  <si>
    <t xml:space="preserve">Solenoid driver HAT (Sequent 8-MOSFET)</t>
  </si>
  <si>
    <t xml:space="preserve">Sequent Eight-MOSFETS</t>
  </si>
  <si>
    <t xml:space="preserve">I2C</t>
  </si>
  <si>
    <t xml:space="preserve">Solid-state, fast. The only HAT on the stack now.</t>
  </si>
  <si>
    <t xml:space="preserve">Push-pull solenoid (12V, ~10mm stroke)</t>
  </si>
  <si>
    <t xml:space="preserve">Makermotor PN00121</t>
  </si>
  <si>
    <t xml:space="preserve">12V switched</t>
  </si>
  <si>
    <t xml:space="preserve">Trigger actuator.</t>
  </si>
  <si>
    <t xml:space="preserve">Arming switch / relay (in 12V solenoid line)</t>
  </si>
  <si>
    <t xml:space="preserve">SPST toggle / 12V relay (gen.)</t>
  </si>
  <si>
    <t xml:space="preserve">GPIO + 12V</t>
  </si>
  <si>
    <t xml:space="preserve">Hardware interlock: open = cannot fire.</t>
  </si>
  <si>
    <t xml:space="preserve">Paintball marker</t>
  </si>
  <si>
    <t xml:space="preserve">owned</t>
  </si>
  <si>
    <t xml:space="preserve">mechanical</t>
  </si>
  <si>
    <t xml:space="preserve">Owned. Bore-sighted to the camera.</t>
  </si>
  <si>
    <t xml:space="preserve">SENSORS (Pi side)</t>
  </si>
  <si>
    <t xml:space="preserve">BNO085 9-DoF IMU breakout</t>
  </si>
  <si>
    <t xml:space="preserve">Adafruit 4754</t>
  </si>
  <si>
    <t xml:space="preserve">SPI</t>
  </si>
  <si>
    <t xml:space="preserve">Accel+gyro (no mag). Leveling + stabilization.</t>
  </si>
  <si>
    <t xml:space="preserve">Benewake TF03 single-point lidar (100m)</t>
  </si>
  <si>
    <t xml:space="preserve">TF03-100-UART/CAN</t>
  </si>
  <si>
    <t xml:space="preserve">UART</t>
  </si>
  <si>
    <t xml:space="preserve">Bore-sighted rangefinder.</t>
  </si>
  <si>
    <t xml:space="preserve">OLED debug screen (SSD1306, 128x64)</t>
  </si>
  <si>
    <t xml:space="preserve">Adafruit 938 (or gen.)</t>
  </si>
  <si>
    <t xml:space="preserve">On-gun ARMED/SAFE + range.</t>
  </si>
  <si>
    <t xml:space="preserve">DISPLAYS &amp; CALIBRATION</t>
  </si>
  <si>
    <t xml:space="preserve">10.1in capacitive touchscreen (Pi console)</t>
  </si>
  <si>
    <t xml:space="preserve">10.1in Pi touch</t>
  </si>
  <si>
    <t xml:space="preserve">HDMI + USB</t>
  </si>
  <si>
    <t xml:space="preserve">Owned. Dev/calibration console, off the rig.</t>
  </si>
  <si>
    <t xml:space="preserve">7in TFT LCD monitor (Jetson view)</t>
  </si>
  <si>
    <t xml:space="preserve">7in TFT LCD</t>
  </si>
  <si>
    <t xml:space="preserve">HDMI + 12V</t>
  </si>
  <si>
    <t xml:space="preserve">Owned. Jetson perception monitor.</t>
  </si>
  <si>
    <t xml:space="preserve">Checkerboard calibration target</t>
  </si>
  <si>
    <t xml:space="preserve">Owned. Camera + bore-sight calibration. Rigid flat backing.</t>
  </si>
  <si>
    <t xml:space="preserve">micro-HDMI to HDMI cable (Pi5 -&gt; 10.1in)</t>
  </si>
  <si>
    <t xml:space="preserve">microHDMI-&gt;HDMI</t>
  </si>
  <si>
    <t xml:space="preserve">HDMI</t>
  </si>
  <si>
    <t xml:space="preserve">Pi5 has micro-HDMI out.</t>
  </si>
  <si>
    <t xml:space="preserve">DisplayPort -&gt; HDMI adapter (Jetson -&gt; 7in)</t>
  </si>
  <si>
    <t xml:space="preserve">DP-&gt;HDMI</t>
  </si>
  <si>
    <t xml:space="preserve">AGX Orin dev kit is DisplayPort; verify.</t>
  </si>
  <si>
    <t xml:space="preserve">INTERCONNECT / MOUNTING</t>
  </si>
  <si>
    <t xml:space="preserve">GPIO stacking header, 2x20 tall</t>
  </si>
  <si>
    <t xml:space="preserve">Adafruit 2223</t>
  </si>
  <si>
    <t xml:space="preserve">Passes GPIO up past the solenoid HAT (only one HAT now).</t>
  </si>
  <si>
    <t xml:space="preserve">Top-of-stack GPIO breakout / proto-HAT</t>
  </si>
  <si>
    <t xml:space="preserve">Adafruit 2310</t>
  </si>
  <si>
    <t xml:space="preserve">Expose SPI (IMU), UART (lidar + Pico), spare GPIO.</t>
  </si>
  <si>
    <t xml:space="preserve">Brass standoff / spacer kit (M2.5)</t>
  </si>
  <si>
    <t xml:space="preserve">M2.5 standoff kit (gen.)</t>
  </si>
  <si>
    <t xml:space="preserve">Mount/space the HAT + Pi.</t>
  </si>
  <si>
    <t xml:space="preserve">Ethernet cable, Cat6 (short)</t>
  </si>
  <si>
    <t xml:space="preserve">Cat6 (gen.)</t>
  </si>
  <si>
    <t xml:space="preserve">Ethernet</t>
  </si>
  <si>
    <t xml:space="preserve">Direct Pi&lt;-&gt;Jetson; service loop for motion.</t>
  </si>
  <si>
    <t xml:space="preserve">POWER</t>
  </si>
  <si>
    <t xml:space="preserve">24-48V DC supply (&gt;=6A) for steppers</t>
  </si>
  <si>
    <t xml:space="preserve">Mean Well LRS-350-48</t>
  </si>
  <si>
    <t xml:space="preserve">Stepper drivers. Higher V = higher speed.</t>
  </si>
  <si>
    <t xml:space="preserve">12V DC supply (&gt;=3A) - solenoid only now</t>
  </si>
  <si>
    <t xml:space="preserve">Mean Well GST60A12</t>
  </si>
  <si>
    <t xml:space="preserve">Solenoid rail (motors moved to 24-48V). Buck from 48V if you want one supply.</t>
  </si>
  <si>
    <t xml:space="preserve">Inline fuse holders + fuses</t>
  </si>
  <si>
    <t xml:space="preserve">ATC holders + fuses (gen.)</t>
  </si>
  <si>
    <t xml:space="preserve">Fuse the 24-48V and 12V rails. Tie ALL grounds together.</t>
  </si>
  <si>
    <t xml:space="preserve">WIRING</t>
  </si>
  <si>
    <t xml:space="preserve">Jumper wires (DuPont M-F, M-M)</t>
  </si>
  <si>
    <t xml:space="preserve">gen.</t>
  </si>
  <si>
    <t xml:space="preserve">Signals: IMU, lidar, Pico, switches.</t>
  </si>
  <si>
    <t xml:space="preserve">Hookup wire, 18-20 AWG</t>
  </si>
  <si>
    <t xml:space="preserve">Motor, solenoid, power runs.</t>
  </si>
  <si>
    <t xml:space="preserve">Wire ferrules / crimp terminals</t>
  </si>
  <si>
    <t xml:space="preserve">Driver/terminal terminations.</t>
  </si>
  <si>
    <t xml:space="preserve">TOTAL TO BUY (excludes items marked Have=Y)</t>
  </si>
  <si>
    <t xml:space="preserve">Device</t>
  </si>
  <si>
    <t xml:space="preserve">Natural Protocol</t>
  </si>
  <si>
    <t xml:space="preserve">Where it connects</t>
  </si>
  <si>
    <t xml:space="preserve">Notes</t>
  </si>
  <si>
    <t xml:space="preserve">Pan stepper (NEMA 23 CL)</t>
  </si>
  <si>
    <t xml:space="preserve">CL driver &lt;- Pico</t>
  </si>
  <si>
    <t xml:space="preserve">Encoder feedback closed in the driver.</t>
  </si>
  <si>
    <t xml:space="preserve">Tilt stepper (NEMA 23 CL)</t>
  </si>
  <si>
    <t xml:space="preserve">Torque-critical axis (gravity).</t>
  </si>
  <si>
    <t xml:space="preserve">Closed-loop drivers x2</t>
  </si>
  <si>
    <t xml:space="preserve">24-48V + step/dir</t>
  </si>
  <si>
    <t xml:space="preserve">24-48V rail; Pico GPIO</t>
  </si>
  <si>
    <t xml:space="preserve">Each reads its motor encoder.</t>
  </si>
  <si>
    <t xml:space="preserve">Motion coprocessor (Pico)</t>
  </si>
  <si>
    <t xml:space="preserve">UART/SPI</t>
  </si>
  <si>
    <t xml:space="preserve">to Pi; step/dir to drivers</t>
  </si>
  <si>
    <t xml:space="preserve">Real-time step gen, profiling, homing.</t>
  </si>
  <si>
    <t xml:space="preserve">GPIO</t>
  </si>
  <si>
    <t xml:space="preserve">Pico inputs</t>
  </si>
  <si>
    <t xml:space="preserve">Power-up homing -&gt; absolute aim.</t>
  </si>
  <si>
    <t xml:space="preserve">Solenoid (trigger)</t>
  </si>
  <si>
    <t xml:space="preserve">Solenoid HAT MOSFET out</t>
  </si>
  <si>
    <t xml:space="preserve">Arming switch in series on 12V.</t>
  </si>
  <si>
    <t xml:space="preserve">Solenoid driver HAT</t>
  </si>
  <si>
    <t xml:space="preserve">Pi I2C bus</t>
  </si>
  <si>
    <t xml:space="preserve">Only HAT on the stack now.</t>
  </si>
  <si>
    <t xml:space="preserve">Arming switch / relay</t>
  </si>
  <si>
    <t xml:space="preserve">in 12V solenoid line</t>
  </si>
  <si>
    <t xml:space="preserve">Hardware firing interlock.</t>
  </si>
  <si>
    <t xml:space="preserve">BNO085 IMU</t>
  </si>
  <si>
    <t xml:space="preserve">Pi SPI0, own CS</t>
  </si>
  <si>
    <t xml:space="preserve">No magnetometer.</t>
  </si>
  <si>
    <t xml:space="preserve">TF03 lidar</t>
  </si>
  <si>
    <t xml:space="preserve">Pi native UART</t>
  </si>
  <si>
    <t xml:space="preserve">Bore-sighted to the muzzle.</t>
  </si>
  <si>
    <t xml:space="preserve">OLED screen</t>
  </si>
  <si>
    <t xml:space="preserve">On-gun status.</t>
  </si>
  <si>
    <t xml:space="preserve">Jetson AGX Orin</t>
  </si>
  <si>
    <t xml:space="preserve">Direct Cat6 to Pi</t>
  </si>
  <si>
    <t xml:space="preserve">Targeting; ROS2/DDS.</t>
  </si>
  <si>
    <t xml:space="preserve">ZED 2i camera</t>
  </si>
  <si>
    <t xml:space="preserve">Jetson USB3 port</t>
  </si>
  <si>
    <t xml:space="preserve">Vision system; not on the Pi.</t>
  </si>
  <si>
    <t xml:space="preserve">Bus map, motion &amp; wiring rules</t>
  </si>
  <si>
    <t xml:space="preserve">- Bus map: I2C = solenoid HAT + OLED. SPI = IMU. UART = lidar + Pico link. Ethernet = Jetson. (The motor HAT is gone with the Vidpro.)</t>
  </si>
  <si>
    <t xml:space="preserve">- MOTION cascade: Jetson (targeting) -&gt; Pi (supervisor: IMU, lidar, arming, setpoints) -&gt; Pico (real-time step/dir + motion profiles) -&gt; closed-loop drivers -&gt; NEMA 23 steppers. Don't generate step pulses on the Pi; Linux isn't real-time and the jitter shows as rough motion.</t>
  </si>
  <si>
    <t xml:space="preserve">- Sizing: tilt is the hard axis (gravity). Keep payload CG within ~10cm of the tilt axis -&gt; ~4.5 Nm to hold; design ~2x for recoil/accel (~10 Nm). NEMA 23 (~3 Nm) x ~5:1 = ~15 Nm at axis, with &gt;100 deg/s to spare.</t>
  </si>
  <si>
    <t xml:space="preserve">- Reduction: planetary (stiff, low backlash) is the default for aiming. A worm on tilt self-locks - holds elevation against gravity/recoil with zero holding current - at the cost of speed.</t>
  </si>
  <si>
    <t xml:space="preserve">- Homing: a limit switch (or absolute encoder) per axis sets a known zero at power-up. With the encoders, that gives true ABSOLUTE aiming - command angles directly; visual servoing becomes a refinement, not the only position source.</t>
  </si>
  <si>
    <t xml:space="preserve">- Structure: metal in the load path (frame, shafts, bearings) - recoil + 10 lb is too much for printed plastic there. Printed parts fine for brackets/covers. Drive the pan axis through a slewing/thrust bearing, never off the motor shaft.</t>
  </si>
  <si>
    <t xml:space="preserve">- Power rails: 5V (Pi), 12V (solenoid only now), 24-48V (steppers; higher = faster). Tie ALL grounds together; the Ethernet link is isolated so Pi&lt;-&gt;Jetson needs no shared ground. Fuse each rail.</t>
  </si>
  <si>
    <t xml:space="preserve">- IMU: one BNO085 on SPI (gun rigid to platform, no flex). Mag off; pitch/roll absolute from gravity, yaw drifts and the camera supplies heading. Leveling: tilt nulls pitch, roll is leveled at the tripod legs; raw gravity vector when static, quaternion through steep angles.</t>
  </si>
  <si>
    <t xml:space="preserve">- Bring-up: define the Pi&lt;-&gt;Jetson command protocol now and have the console emit those exact frames, so human-as-Jetson and the real Jetson are interchangeable. Validate tracking on the 7in with the trigger disarmed before autonomy and the interlock meet.</t>
  </si>
  <si>
    <t xml:space="preserve">- Coloring: green = owned (excluded from total). Orange = new/reworked motion parts. Generic SKUs are representative specs; prices are ballpark USD.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</si>
</sst>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4" t="s">
        <v>10</v>
      </c>
      <c r="C3" s="5" t="s">
        <v>11</v>
      </c>
      <c r="D3" s="6" t="n">
        <v>1</v>
      </c>
      <c r="E3" s="7" t="n">
        <v>80</v>
      </c>
      <c r="F3" s="6"/>
      <c r="G3" s="8" t="n">
        <f aca="false">IF(F3="Y",0,D3*E3)</f>
        <v>80</v>
      </c>
      <c r="H3" s="5" t="s">
        <v>12</v>
      </c>
    </row>
    <row r="4" customFormat="false" ht="15" hidden="false" customHeight="false" outlineLevel="0" collapsed="false">
      <c r="A4" s="3" t="s">
        <v>13</v>
      </c>
      <c r="B4" s="4" t="s">
        <v>14</v>
      </c>
      <c r="C4" s="5" t="s">
        <v>11</v>
      </c>
      <c r="D4" s="6" t="n">
        <v>1</v>
      </c>
      <c r="E4" s="7" t="n">
        <v>5</v>
      </c>
      <c r="F4" s="6"/>
      <c r="G4" s="8" t="n">
        <f aca="false">IF(F4="Y",0,D4*E4)</f>
        <v>5</v>
      </c>
      <c r="H4" s="5" t="s">
        <v>15</v>
      </c>
    </row>
    <row r="5" customFormat="false" ht="15" hidden="false" customHeight="false" outlineLevel="0" collapsed="false">
      <c r="A5" s="3" t="s">
        <v>16</v>
      </c>
      <c r="B5" s="4" t="s">
        <v>17</v>
      </c>
      <c r="C5" s="5" t="s">
        <v>18</v>
      </c>
      <c r="D5" s="6" t="n">
        <v>1</v>
      </c>
      <c r="E5" s="7" t="n">
        <v>12</v>
      </c>
      <c r="F5" s="6"/>
      <c r="G5" s="8" t="n">
        <f aca="false">IF(F5="Y",0,D5*E5)</f>
        <v>12</v>
      </c>
      <c r="H5" s="5" t="s">
        <v>19</v>
      </c>
    </row>
    <row r="6" customFormat="false" ht="15" hidden="false" customHeight="false" outlineLevel="0" collapsed="false">
      <c r="A6" s="3" t="s">
        <v>20</v>
      </c>
      <c r="B6" s="4" t="s">
        <v>21</v>
      </c>
      <c r="C6" s="5" t="s">
        <v>11</v>
      </c>
      <c r="D6" s="6" t="n">
        <v>1</v>
      </c>
      <c r="E6" s="7" t="n">
        <v>10</v>
      </c>
      <c r="F6" s="6"/>
      <c r="G6" s="8" t="n">
        <f aca="false">IF(F6="Y",0,D6*E6)</f>
        <v>10</v>
      </c>
      <c r="H6" s="5" t="s">
        <v>22</v>
      </c>
    </row>
    <row r="7" customFormat="false" ht="15" hidden="false" customHeight="false" outlineLevel="0" collapsed="false">
      <c r="A7" s="9" t="s">
        <v>23</v>
      </c>
      <c r="B7" s="10" t="s">
        <v>24</v>
      </c>
      <c r="C7" s="11" t="s">
        <v>11</v>
      </c>
      <c r="D7" s="12" t="n">
        <v>1</v>
      </c>
      <c r="E7" s="13"/>
      <c r="F7" s="12" t="s">
        <v>25</v>
      </c>
      <c r="G7" s="14" t="n">
        <f aca="false">IF(F7="Y",0,D7*E7)</f>
        <v>0</v>
      </c>
      <c r="H7" s="11" t="s">
        <v>26</v>
      </c>
    </row>
    <row r="8" customFormat="false" ht="15" hidden="false" customHeight="false" outlineLevel="0" collapsed="false">
      <c r="A8" s="2" t="s">
        <v>27</v>
      </c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9" t="s">
        <v>28</v>
      </c>
      <c r="B9" s="10" t="s">
        <v>29</v>
      </c>
      <c r="C9" s="11" t="s">
        <v>30</v>
      </c>
      <c r="D9" s="12" t="n">
        <v>1</v>
      </c>
      <c r="E9" s="15" t="n">
        <v>549</v>
      </c>
      <c r="F9" s="12" t="s">
        <v>25</v>
      </c>
      <c r="G9" s="14" t="n">
        <f aca="false">IF(F9="Y",0,D9*E9)</f>
        <v>0</v>
      </c>
      <c r="H9" s="11" t="s">
        <v>31</v>
      </c>
    </row>
    <row r="10" customFormat="false" ht="15" hidden="false" customHeight="false" outlineLevel="0" collapsed="false">
      <c r="A10" s="9" t="s">
        <v>32</v>
      </c>
      <c r="B10" s="10" t="s">
        <v>33</v>
      </c>
      <c r="C10" s="11" t="s">
        <v>30</v>
      </c>
      <c r="D10" s="12" t="n">
        <v>1</v>
      </c>
      <c r="E10" s="15" t="n">
        <v>30</v>
      </c>
      <c r="F10" s="12" t="s">
        <v>25</v>
      </c>
      <c r="G10" s="14" t="n">
        <f aca="false">IF(F10="Y",0,D10*E10)</f>
        <v>0</v>
      </c>
      <c r="H10" s="11" t="s">
        <v>34</v>
      </c>
    </row>
    <row r="11" customFormat="false" ht="15" hidden="false" customHeight="false" outlineLevel="0" collapsed="false">
      <c r="A11" s="2" t="s">
        <v>35</v>
      </c>
      <c r="B11" s="2"/>
      <c r="C11" s="2"/>
      <c r="D11" s="2"/>
      <c r="E11" s="2"/>
      <c r="F11" s="2"/>
      <c r="G11" s="2"/>
      <c r="H11" s="2"/>
    </row>
    <row r="12" customFormat="false" ht="23.85" hidden="false" customHeight="false" outlineLevel="0" collapsed="false">
      <c r="A12" s="16" t="s">
        <v>36</v>
      </c>
      <c r="B12" s="17" t="s">
        <v>37</v>
      </c>
      <c r="C12" s="18" t="s">
        <v>38</v>
      </c>
      <c r="D12" s="19" t="n">
        <v>2</v>
      </c>
      <c r="E12" s="20" t="n">
        <v>45</v>
      </c>
      <c r="F12" s="19"/>
      <c r="G12" s="21" t="n">
        <f aca="false">IF(F12="Y",0,D12*E12)</f>
        <v>90</v>
      </c>
      <c r="H12" s="18" t="s">
        <v>39</v>
      </c>
    </row>
    <row r="13" customFormat="false" ht="15" hidden="false" customHeight="false" outlineLevel="0" collapsed="false">
      <c r="A13" s="16" t="s">
        <v>40</v>
      </c>
      <c r="B13" s="17" t="s">
        <v>41</v>
      </c>
      <c r="C13" s="18" t="s">
        <v>42</v>
      </c>
      <c r="D13" s="19" t="n">
        <v>2</v>
      </c>
      <c r="E13" s="20" t="n">
        <v>35</v>
      </c>
      <c r="F13" s="19"/>
      <c r="G13" s="21" t="n">
        <f aca="false">IF(F13="Y",0,D13*E13)</f>
        <v>70</v>
      </c>
      <c r="H13" s="18" t="s">
        <v>43</v>
      </c>
    </row>
    <row r="14" customFormat="false" ht="23.85" hidden="false" customHeight="false" outlineLevel="0" collapsed="false">
      <c r="A14" s="16" t="s">
        <v>44</v>
      </c>
      <c r="B14" s="17" t="s">
        <v>45</v>
      </c>
      <c r="C14" s="18" t="s">
        <v>11</v>
      </c>
      <c r="D14" s="19" t="n">
        <v>2</v>
      </c>
      <c r="E14" s="20" t="n">
        <v>55</v>
      </c>
      <c r="F14" s="19"/>
      <c r="G14" s="21" t="n">
        <f aca="false">IF(F14="Y",0,D14*E14)</f>
        <v>110</v>
      </c>
      <c r="H14" s="18" t="s">
        <v>46</v>
      </c>
    </row>
    <row r="15" customFormat="false" ht="15" hidden="false" customHeight="false" outlineLevel="0" collapsed="false">
      <c r="A15" s="16" t="s">
        <v>47</v>
      </c>
      <c r="B15" s="17" t="s">
        <v>48</v>
      </c>
      <c r="C15" s="18" t="s">
        <v>11</v>
      </c>
      <c r="D15" s="19" t="n">
        <v>1</v>
      </c>
      <c r="E15" s="20" t="n">
        <v>25</v>
      </c>
      <c r="F15" s="19"/>
      <c r="G15" s="21" t="n">
        <f aca="false">IF(F15="Y",0,D15*E15)</f>
        <v>25</v>
      </c>
      <c r="H15" s="18" t="s">
        <v>49</v>
      </c>
    </row>
    <row r="16" customFormat="false" ht="15" hidden="false" customHeight="false" outlineLevel="0" collapsed="false">
      <c r="A16" s="16" t="s">
        <v>50</v>
      </c>
      <c r="B16" s="17" t="s">
        <v>51</v>
      </c>
      <c r="C16" s="18" t="s">
        <v>11</v>
      </c>
      <c r="D16" s="19" t="n">
        <v>1</v>
      </c>
      <c r="E16" s="20" t="n">
        <v>20</v>
      </c>
      <c r="F16" s="19"/>
      <c r="G16" s="21" t="n">
        <f aca="false">IF(F16="Y",0,D16*E16)</f>
        <v>20</v>
      </c>
      <c r="H16" s="18" t="s">
        <v>52</v>
      </c>
    </row>
    <row r="17" customFormat="false" ht="23.85" hidden="false" customHeight="false" outlineLevel="0" collapsed="false">
      <c r="A17" s="16" t="s">
        <v>53</v>
      </c>
      <c r="B17" s="17" t="s">
        <v>54</v>
      </c>
      <c r="C17" s="18" t="s">
        <v>11</v>
      </c>
      <c r="D17" s="19" t="n">
        <v>1</v>
      </c>
      <c r="E17" s="20" t="n">
        <v>80</v>
      </c>
      <c r="F17" s="19"/>
      <c r="G17" s="21" t="n">
        <f aca="false">IF(F17="Y",0,D17*E17)</f>
        <v>80</v>
      </c>
      <c r="H17" s="18" t="s">
        <v>55</v>
      </c>
    </row>
    <row r="18" customFormat="false" ht="23.85" hidden="false" customHeight="false" outlineLevel="0" collapsed="false">
      <c r="A18" s="16" t="s">
        <v>56</v>
      </c>
      <c r="B18" s="17" t="s">
        <v>57</v>
      </c>
      <c r="C18" s="18" t="s">
        <v>58</v>
      </c>
      <c r="D18" s="19" t="n">
        <v>1</v>
      </c>
      <c r="E18" s="20" t="n">
        <v>5</v>
      </c>
      <c r="F18" s="19"/>
      <c r="G18" s="21" t="n">
        <f aca="false">IF(F18="Y",0,D18*E18)</f>
        <v>5</v>
      </c>
      <c r="H18" s="18" t="s">
        <v>59</v>
      </c>
    </row>
    <row r="19" customFormat="false" ht="15" hidden="false" customHeight="false" outlineLevel="0" collapsed="false">
      <c r="A19" s="16" t="s">
        <v>60</v>
      </c>
      <c r="B19" s="17" t="s">
        <v>61</v>
      </c>
      <c r="C19" s="18" t="s">
        <v>62</v>
      </c>
      <c r="D19" s="19" t="n">
        <v>2</v>
      </c>
      <c r="E19" s="20" t="n">
        <v>3</v>
      </c>
      <c r="F19" s="19"/>
      <c r="G19" s="21" t="n">
        <f aca="false">IF(F19="Y",0,D19*E19)</f>
        <v>6</v>
      </c>
      <c r="H19" s="18" t="s">
        <v>63</v>
      </c>
    </row>
    <row r="20" customFormat="false" ht="15" hidden="false" customHeight="false" outlineLevel="0" collapsed="false">
      <c r="A20" s="2" t="s">
        <v>64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3" t="s">
        <v>65</v>
      </c>
      <c r="B21" s="4" t="s">
        <v>66</v>
      </c>
      <c r="C21" s="5" t="s">
        <v>67</v>
      </c>
      <c r="D21" s="6" t="n">
        <v>1</v>
      </c>
      <c r="E21" s="7" t="n">
        <v>45</v>
      </c>
      <c r="F21" s="6"/>
      <c r="G21" s="8" t="n">
        <f aca="false">IF(F21="Y",0,D21*E21)</f>
        <v>45</v>
      </c>
      <c r="H21" s="5" t="s">
        <v>68</v>
      </c>
    </row>
    <row r="22" customFormat="false" ht="15" hidden="false" customHeight="false" outlineLevel="0" collapsed="false">
      <c r="A22" s="3" t="s">
        <v>69</v>
      </c>
      <c r="B22" s="4" t="s">
        <v>70</v>
      </c>
      <c r="C22" s="5" t="s">
        <v>71</v>
      </c>
      <c r="D22" s="6" t="n">
        <v>1</v>
      </c>
      <c r="E22" s="7" t="n">
        <v>20</v>
      </c>
      <c r="F22" s="6"/>
      <c r="G22" s="8" t="n">
        <f aca="false">IF(F22="Y",0,D22*E22)</f>
        <v>20</v>
      </c>
      <c r="H22" s="5" t="s">
        <v>72</v>
      </c>
    </row>
    <row r="23" customFormat="false" ht="23.85" hidden="false" customHeight="false" outlineLevel="0" collapsed="false">
      <c r="A23" s="3" t="s">
        <v>73</v>
      </c>
      <c r="B23" s="4" t="s">
        <v>74</v>
      </c>
      <c r="C23" s="5" t="s">
        <v>75</v>
      </c>
      <c r="D23" s="6" t="n">
        <v>1</v>
      </c>
      <c r="E23" s="7" t="n">
        <v>8</v>
      </c>
      <c r="F23" s="6"/>
      <c r="G23" s="8" t="n">
        <f aca="false">IF(F23="Y",0,D23*E23)</f>
        <v>8</v>
      </c>
      <c r="H23" s="5" t="s">
        <v>76</v>
      </c>
    </row>
    <row r="24" customFormat="false" ht="15" hidden="false" customHeight="false" outlineLevel="0" collapsed="false">
      <c r="A24" s="9" t="s">
        <v>77</v>
      </c>
      <c r="B24" s="10" t="s">
        <v>78</v>
      </c>
      <c r="C24" s="11" t="s">
        <v>79</v>
      </c>
      <c r="D24" s="12" t="n">
        <v>1</v>
      </c>
      <c r="E24" s="13"/>
      <c r="F24" s="12" t="s">
        <v>25</v>
      </c>
      <c r="G24" s="14" t="n">
        <f aca="false">IF(F24="Y",0,D24*E24)</f>
        <v>0</v>
      </c>
      <c r="H24" s="11" t="s">
        <v>80</v>
      </c>
    </row>
    <row r="25" customFormat="false" ht="15" hidden="false" customHeight="false" outlineLevel="0" collapsed="false">
      <c r="A25" s="2" t="s">
        <v>81</v>
      </c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3" t="s">
        <v>82</v>
      </c>
      <c r="B26" s="4" t="s">
        <v>83</v>
      </c>
      <c r="C26" s="5" t="s">
        <v>84</v>
      </c>
      <c r="D26" s="6" t="n">
        <v>1</v>
      </c>
      <c r="E26" s="7" t="n">
        <v>20</v>
      </c>
      <c r="F26" s="6"/>
      <c r="G26" s="8" t="n">
        <f aca="false">IF(F26="Y",0,D26*E26)</f>
        <v>20</v>
      </c>
      <c r="H26" s="5" t="s">
        <v>85</v>
      </c>
    </row>
    <row r="27" customFormat="false" ht="15" hidden="false" customHeight="false" outlineLevel="0" collapsed="false">
      <c r="A27" s="3" t="s">
        <v>86</v>
      </c>
      <c r="B27" s="4" t="s">
        <v>87</v>
      </c>
      <c r="C27" s="5" t="s">
        <v>88</v>
      </c>
      <c r="D27" s="6" t="n">
        <v>1</v>
      </c>
      <c r="E27" s="7" t="n">
        <v>220</v>
      </c>
      <c r="F27" s="6"/>
      <c r="G27" s="8" t="n">
        <f aca="false">IF(F27="Y",0,D27*E27)</f>
        <v>220</v>
      </c>
      <c r="H27" s="5" t="s">
        <v>89</v>
      </c>
    </row>
    <row r="28" customFormat="false" ht="15" hidden="false" customHeight="false" outlineLevel="0" collapsed="false">
      <c r="A28" s="3" t="s">
        <v>90</v>
      </c>
      <c r="B28" s="4" t="s">
        <v>91</v>
      </c>
      <c r="C28" s="5" t="s">
        <v>67</v>
      </c>
      <c r="D28" s="6" t="n">
        <v>1</v>
      </c>
      <c r="E28" s="7" t="n">
        <v>9</v>
      </c>
      <c r="F28" s="6"/>
      <c r="G28" s="8" t="n">
        <f aca="false">IF(F28="Y",0,D28*E28)</f>
        <v>9</v>
      </c>
      <c r="H28" s="5" t="s">
        <v>92</v>
      </c>
    </row>
    <row r="29" customFormat="false" ht="15" hidden="false" customHeight="false" outlineLevel="0" collapsed="false">
      <c r="A29" s="2" t="s">
        <v>93</v>
      </c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9" t="s">
        <v>94</v>
      </c>
      <c r="B30" s="10" t="s">
        <v>95</v>
      </c>
      <c r="C30" s="11" t="s">
        <v>96</v>
      </c>
      <c r="D30" s="12" t="n">
        <v>1</v>
      </c>
      <c r="E30" s="13"/>
      <c r="F30" s="12" t="s">
        <v>25</v>
      </c>
      <c r="G30" s="14" t="n">
        <f aca="false">IF(F30="Y",0,D30*E30)</f>
        <v>0</v>
      </c>
      <c r="H30" s="11" t="s">
        <v>97</v>
      </c>
    </row>
    <row r="31" customFormat="false" ht="15" hidden="false" customHeight="false" outlineLevel="0" collapsed="false">
      <c r="A31" s="9" t="s">
        <v>98</v>
      </c>
      <c r="B31" s="10" t="s">
        <v>99</v>
      </c>
      <c r="C31" s="11" t="s">
        <v>100</v>
      </c>
      <c r="D31" s="12" t="n">
        <v>1</v>
      </c>
      <c r="E31" s="13"/>
      <c r="F31" s="12" t="s">
        <v>25</v>
      </c>
      <c r="G31" s="14" t="n">
        <f aca="false">IF(F31="Y",0,D31*E31)</f>
        <v>0</v>
      </c>
      <c r="H31" s="11" t="s">
        <v>101</v>
      </c>
    </row>
    <row r="32" customFormat="false" ht="15" hidden="false" customHeight="false" outlineLevel="0" collapsed="false">
      <c r="A32" s="9" t="s">
        <v>102</v>
      </c>
      <c r="B32" s="10" t="s">
        <v>78</v>
      </c>
      <c r="C32" s="11" t="s">
        <v>11</v>
      </c>
      <c r="D32" s="12" t="n">
        <v>1</v>
      </c>
      <c r="E32" s="13"/>
      <c r="F32" s="12" t="s">
        <v>25</v>
      </c>
      <c r="G32" s="14" t="n">
        <f aca="false">IF(F32="Y",0,D32*E32)</f>
        <v>0</v>
      </c>
      <c r="H32" s="11" t="s">
        <v>103</v>
      </c>
    </row>
    <row r="33" customFormat="false" ht="15" hidden="false" customHeight="false" outlineLevel="0" collapsed="false">
      <c r="A33" s="3" t="s">
        <v>104</v>
      </c>
      <c r="B33" s="4" t="s">
        <v>105</v>
      </c>
      <c r="C33" s="5" t="s">
        <v>106</v>
      </c>
      <c r="D33" s="6" t="n">
        <v>1</v>
      </c>
      <c r="E33" s="7" t="n">
        <v>7</v>
      </c>
      <c r="F33" s="6"/>
      <c r="G33" s="8" t="n">
        <f aca="false">IF(F33="Y",0,D33*E33)</f>
        <v>7</v>
      </c>
      <c r="H33" s="5" t="s">
        <v>107</v>
      </c>
    </row>
    <row r="34" customFormat="false" ht="15" hidden="false" customHeight="false" outlineLevel="0" collapsed="false">
      <c r="A34" s="3" t="s">
        <v>108</v>
      </c>
      <c r="B34" s="4" t="s">
        <v>109</v>
      </c>
      <c r="C34" s="5" t="s">
        <v>106</v>
      </c>
      <c r="D34" s="6" t="n">
        <v>1</v>
      </c>
      <c r="E34" s="7" t="n">
        <v>9</v>
      </c>
      <c r="F34" s="6"/>
      <c r="G34" s="8" t="n">
        <f aca="false">IF(F34="Y",0,D34*E34)</f>
        <v>9</v>
      </c>
      <c r="H34" s="5" t="s">
        <v>110</v>
      </c>
    </row>
    <row r="35" customFormat="false" ht="15" hidden="false" customHeight="false" outlineLevel="0" collapsed="false">
      <c r="A35" s="2" t="s">
        <v>111</v>
      </c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3" t="s">
        <v>112</v>
      </c>
      <c r="B36" s="4" t="s">
        <v>113</v>
      </c>
      <c r="C36" s="5" t="s">
        <v>11</v>
      </c>
      <c r="D36" s="6" t="n">
        <v>1</v>
      </c>
      <c r="E36" s="7" t="n">
        <v>3</v>
      </c>
      <c r="F36" s="6"/>
      <c r="G36" s="8" t="n">
        <f aca="false">IF(F36="Y",0,D36*E36)</f>
        <v>3</v>
      </c>
      <c r="H36" s="5" t="s">
        <v>114</v>
      </c>
    </row>
    <row r="37" customFormat="false" ht="15" hidden="false" customHeight="false" outlineLevel="0" collapsed="false">
      <c r="A37" s="3" t="s">
        <v>115</v>
      </c>
      <c r="B37" s="4" t="s">
        <v>116</v>
      </c>
      <c r="C37" s="5" t="s">
        <v>11</v>
      </c>
      <c r="D37" s="6" t="n">
        <v>1</v>
      </c>
      <c r="E37" s="7" t="n">
        <v>8</v>
      </c>
      <c r="F37" s="6"/>
      <c r="G37" s="8" t="n">
        <f aca="false">IF(F37="Y",0,D37*E37)</f>
        <v>8</v>
      </c>
      <c r="H37" s="5" t="s">
        <v>117</v>
      </c>
    </row>
    <row r="38" customFormat="false" ht="23.85" hidden="false" customHeight="false" outlineLevel="0" collapsed="false">
      <c r="A38" s="3" t="s">
        <v>118</v>
      </c>
      <c r="B38" s="4" t="s">
        <v>119</v>
      </c>
      <c r="C38" s="5" t="s">
        <v>11</v>
      </c>
      <c r="D38" s="6" t="n">
        <v>1</v>
      </c>
      <c r="E38" s="7" t="n">
        <v>8</v>
      </c>
      <c r="F38" s="6"/>
      <c r="G38" s="8" t="n">
        <f aca="false">IF(F38="Y",0,D38*E38)</f>
        <v>8</v>
      </c>
      <c r="H38" s="5" t="s">
        <v>120</v>
      </c>
    </row>
    <row r="39" customFormat="false" ht="15" hidden="false" customHeight="false" outlineLevel="0" collapsed="false">
      <c r="A39" s="3" t="s">
        <v>121</v>
      </c>
      <c r="B39" s="4" t="s">
        <v>122</v>
      </c>
      <c r="C39" s="5" t="s">
        <v>123</v>
      </c>
      <c r="D39" s="6" t="n">
        <v>1</v>
      </c>
      <c r="E39" s="7" t="n">
        <v>6</v>
      </c>
      <c r="F39" s="6"/>
      <c r="G39" s="8" t="n">
        <f aca="false">IF(F39="Y",0,D39*E39)</f>
        <v>6</v>
      </c>
      <c r="H39" s="5" t="s">
        <v>124</v>
      </c>
    </row>
    <row r="40" customFormat="false" ht="15" hidden="false" customHeight="false" outlineLevel="0" collapsed="false">
      <c r="A40" s="2" t="s">
        <v>125</v>
      </c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16" t="s">
        <v>126</v>
      </c>
      <c r="B41" s="17" t="s">
        <v>127</v>
      </c>
      <c r="C41" s="18" t="s">
        <v>11</v>
      </c>
      <c r="D41" s="19" t="n">
        <v>1</v>
      </c>
      <c r="E41" s="20" t="n">
        <v>45</v>
      </c>
      <c r="F41" s="19"/>
      <c r="G41" s="21" t="n">
        <f aca="false">IF(F41="Y",0,D41*E41)</f>
        <v>45</v>
      </c>
      <c r="H41" s="18" t="s">
        <v>128</v>
      </c>
    </row>
    <row r="42" customFormat="false" ht="23.85" hidden="false" customHeight="false" outlineLevel="0" collapsed="false">
      <c r="A42" s="3" t="s">
        <v>129</v>
      </c>
      <c r="B42" s="4" t="s">
        <v>130</v>
      </c>
      <c r="C42" s="5" t="s">
        <v>11</v>
      </c>
      <c r="D42" s="6" t="n">
        <v>1</v>
      </c>
      <c r="E42" s="7" t="n">
        <v>16</v>
      </c>
      <c r="F42" s="6"/>
      <c r="G42" s="8" t="n">
        <f aca="false">IF(F42="Y",0,D42*E42)</f>
        <v>16</v>
      </c>
      <c r="H42" s="5" t="s">
        <v>131</v>
      </c>
    </row>
    <row r="43" customFormat="false" ht="23.85" hidden="false" customHeight="false" outlineLevel="0" collapsed="false">
      <c r="A43" s="3" t="s">
        <v>132</v>
      </c>
      <c r="B43" s="4" t="s">
        <v>133</v>
      </c>
      <c r="C43" s="5" t="s">
        <v>11</v>
      </c>
      <c r="D43" s="6" t="n">
        <v>1</v>
      </c>
      <c r="E43" s="7" t="n">
        <v>8</v>
      </c>
      <c r="F43" s="6"/>
      <c r="G43" s="8" t="n">
        <f aca="false">IF(F43="Y",0,D43*E43)</f>
        <v>8</v>
      </c>
      <c r="H43" s="5" t="s">
        <v>134</v>
      </c>
    </row>
    <row r="44" customFormat="false" ht="15" hidden="false" customHeight="false" outlineLevel="0" collapsed="false">
      <c r="A44" s="2" t="s">
        <v>135</v>
      </c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3" t="s">
        <v>136</v>
      </c>
      <c r="B45" s="4" t="s">
        <v>137</v>
      </c>
      <c r="C45" s="5" t="s">
        <v>11</v>
      </c>
      <c r="D45" s="6" t="n">
        <v>1</v>
      </c>
      <c r="E45" s="7" t="n">
        <v>7</v>
      </c>
      <c r="F45" s="6"/>
      <c r="G45" s="8" t="n">
        <f aca="false">IF(F45="Y",0,D45*E45)</f>
        <v>7</v>
      </c>
      <c r="H45" s="5" t="s">
        <v>138</v>
      </c>
    </row>
    <row r="46" customFormat="false" ht="15" hidden="false" customHeight="false" outlineLevel="0" collapsed="false">
      <c r="A46" s="3" t="s">
        <v>139</v>
      </c>
      <c r="B46" s="4" t="s">
        <v>137</v>
      </c>
      <c r="C46" s="5" t="s">
        <v>11</v>
      </c>
      <c r="D46" s="6" t="n">
        <v>1</v>
      </c>
      <c r="E46" s="7" t="n">
        <v>10</v>
      </c>
      <c r="F46" s="6"/>
      <c r="G46" s="8" t="n">
        <f aca="false">IF(F46="Y",0,D46*E46)</f>
        <v>10</v>
      </c>
      <c r="H46" s="5" t="s">
        <v>140</v>
      </c>
    </row>
    <row r="47" customFormat="false" ht="15" hidden="false" customHeight="false" outlineLevel="0" collapsed="false">
      <c r="A47" s="3" t="s">
        <v>141</v>
      </c>
      <c r="B47" s="4" t="s">
        <v>137</v>
      </c>
      <c r="C47" s="5" t="s">
        <v>11</v>
      </c>
      <c r="D47" s="6" t="n">
        <v>1</v>
      </c>
      <c r="E47" s="7" t="n">
        <v>9</v>
      </c>
      <c r="F47" s="6"/>
      <c r="G47" s="8" t="n">
        <f aca="false">IF(F47="Y",0,D47*E47)</f>
        <v>9</v>
      </c>
      <c r="H47" s="5" t="s">
        <v>142</v>
      </c>
    </row>
    <row r="48" customFormat="false" ht="15" hidden="false" customHeight="false" outlineLevel="0" collapsed="false">
      <c r="A48" s="22" t="s">
        <v>143</v>
      </c>
      <c r="B48" s="22"/>
      <c r="C48" s="22"/>
      <c r="D48" s="22"/>
      <c r="E48" s="22"/>
      <c r="F48" s="22"/>
      <c r="G48" s="23" t="n">
        <f aca="false">SUM(G2:G47)</f>
        <v>971</v>
      </c>
      <c r="H48" s="24"/>
    </row>
  </sheetData>
  <mergeCells count="10">
    <mergeCell ref="A2:H2"/>
    <mergeCell ref="A8:H8"/>
    <mergeCell ref="A11:H11"/>
    <mergeCell ref="A20:H20"/>
    <mergeCell ref="A25:H25"/>
    <mergeCell ref="A29:H29"/>
    <mergeCell ref="A35:H35"/>
    <mergeCell ref="A40:H40"/>
    <mergeCell ref="A44:H44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5" t="s">
        <v>144</v>
      </c>
      <c r="B1" s="25" t="s">
        <v>145</v>
      </c>
      <c r="C1" s="25" t="s">
        <v>146</v>
      </c>
      <c r="D1" s="25" t="s">
        <v>147</v>
      </c>
    </row>
    <row r="2" customFormat="false" ht="15" hidden="false" customHeight="false" outlineLevel="0" collapsed="false">
      <c r="A2" s="5" t="s">
        <v>148</v>
      </c>
      <c r="B2" s="5" t="s">
        <v>42</v>
      </c>
      <c r="C2" s="5" t="s">
        <v>149</v>
      </c>
      <c r="D2" s="5" t="s">
        <v>150</v>
      </c>
    </row>
    <row r="3" customFormat="false" ht="15" hidden="false" customHeight="false" outlineLevel="0" collapsed="false">
      <c r="A3" s="5" t="s">
        <v>151</v>
      </c>
      <c r="B3" s="5" t="s">
        <v>42</v>
      </c>
      <c r="C3" s="5" t="s">
        <v>149</v>
      </c>
      <c r="D3" s="5" t="s">
        <v>152</v>
      </c>
    </row>
    <row r="4" customFormat="false" ht="15" hidden="false" customHeight="false" outlineLevel="0" collapsed="false">
      <c r="A4" s="5" t="s">
        <v>153</v>
      </c>
      <c r="B4" s="5" t="s">
        <v>154</v>
      </c>
      <c r="C4" s="5" t="s">
        <v>155</v>
      </c>
      <c r="D4" s="5" t="s">
        <v>156</v>
      </c>
    </row>
    <row r="5" customFormat="false" ht="15" hidden="false" customHeight="false" outlineLevel="0" collapsed="false">
      <c r="A5" s="5" t="s">
        <v>157</v>
      </c>
      <c r="B5" s="5" t="s">
        <v>158</v>
      </c>
      <c r="C5" s="5" t="s">
        <v>159</v>
      </c>
      <c r="D5" s="5" t="s">
        <v>160</v>
      </c>
    </row>
    <row r="6" customFormat="false" ht="15" hidden="false" customHeight="false" outlineLevel="0" collapsed="false">
      <c r="A6" s="5" t="s">
        <v>60</v>
      </c>
      <c r="B6" s="5" t="s">
        <v>161</v>
      </c>
      <c r="C6" s="5" t="s">
        <v>162</v>
      </c>
      <c r="D6" s="5" t="s">
        <v>163</v>
      </c>
    </row>
    <row r="7" customFormat="false" ht="15" hidden="false" customHeight="false" outlineLevel="0" collapsed="false">
      <c r="A7" s="5" t="s">
        <v>164</v>
      </c>
      <c r="B7" s="5" t="s">
        <v>71</v>
      </c>
      <c r="C7" s="5" t="s">
        <v>165</v>
      </c>
      <c r="D7" s="5" t="s">
        <v>166</v>
      </c>
    </row>
    <row r="8" customFormat="false" ht="15" hidden="false" customHeight="false" outlineLevel="0" collapsed="false">
      <c r="A8" s="5" t="s">
        <v>167</v>
      </c>
      <c r="B8" s="5" t="s">
        <v>67</v>
      </c>
      <c r="C8" s="5" t="s">
        <v>168</v>
      </c>
      <c r="D8" s="5" t="s">
        <v>169</v>
      </c>
    </row>
    <row r="9" customFormat="false" ht="15" hidden="false" customHeight="false" outlineLevel="0" collapsed="false">
      <c r="A9" s="5" t="s">
        <v>170</v>
      </c>
      <c r="B9" s="5" t="s">
        <v>75</v>
      </c>
      <c r="C9" s="5" t="s">
        <v>171</v>
      </c>
      <c r="D9" s="5" t="s">
        <v>172</v>
      </c>
    </row>
    <row r="10" customFormat="false" ht="15" hidden="false" customHeight="false" outlineLevel="0" collapsed="false">
      <c r="A10" s="5" t="s">
        <v>173</v>
      </c>
      <c r="B10" s="5" t="s">
        <v>84</v>
      </c>
      <c r="C10" s="5" t="s">
        <v>174</v>
      </c>
      <c r="D10" s="5" t="s">
        <v>175</v>
      </c>
    </row>
    <row r="11" customFormat="false" ht="15" hidden="false" customHeight="false" outlineLevel="0" collapsed="false">
      <c r="A11" s="5" t="s">
        <v>176</v>
      </c>
      <c r="B11" s="5" t="s">
        <v>88</v>
      </c>
      <c r="C11" s="5" t="s">
        <v>177</v>
      </c>
      <c r="D11" s="5" t="s">
        <v>178</v>
      </c>
    </row>
    <row r="12" customFormat="false" ht="15" hidden="false" customHeight="false" outlineLevel="0" collapsed="false">
      <c r="A12" s="5" t="s">
        <v>179</v>
      </c>
      <c r="B12" s="5" t="s">
        <v>67</v>
      </c>
      <c r="C12" s="5" t="s">
        <v>168</v>
      </c>
      <c r="D12" s="5" t="s">
        <v>180</v>
      </c>
    </row>
    <row r="13" customFormat="false" ht="15" hidden="false" customHeight="false" outlineLevel="0" collapsed="false">
      <c r="A13" s="5" t="s">
        <v>181</v>
      </c>
      <c r="B13" s="5" t="s">
        <v>123</v>
      </c>
      <c r="C13" s="5" t="s">
        <v>182</v>
      </c>
      <c r="D13" s="5" t="s">
        <v>183</v>
      </c>
    </row>
    <row r="14" customFormat="false" ht="15" hidden="false" customHeight="false" outlineLevel="0" collapsed="false">
      <c r="A14" s="5" t="s">
        <v>184</v>
      </c>
      <c r="B14" s="5" t="s">
        <v>30</v>
      </c>
      <c r="C14" s="5" t="s">
        <v>185</v>
      </c>
      <c r="D14" s="5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26" t="s">
        <v>187</v>
      </c>
    </row>
    <row r="3" customFormat="false" ht="39.75" hidden="false" customHeight="true" outlineLevel="0" collapsed="false">
      <c r="A3" s="27" t="s">
        <v>188</v>
      </c>
    </row>
    <row r="4" customFormat="false" ht="39.75" hidden="false" customHeight="true" outlineLevel="0" collapsed="false">
      <c r="A4" s="27" t="s">
        <v>189</v>
      </c>
    </row>
    <row r="5" customFormat="false" ht="39.75" hidden="false" customHeight="true" outlineLevel="0" collapsed="false">
      <c r="A5" s="27" t="s">
        <v>190</v>
      </c>
    </row>
    <row r="6" customFormat="false" ht="39.75" hidden="false" customHeight="true" outlineLevel="0" collapsed="false">
      <c r="A6" s="27" t="s">
        <v>191</v>
      </c>
    </row>
    <row r="7" customFormat="false" ht="39.75" hidden="false" customHeight="true" outlineLevel="0" collapsed="false">
      <c r="A7" s="27" t="s">
        <v>192</v>
      </c>
    </row>
    <row r="8" customFormat="false" ht="39.75" hidden="false" customHeight="true" outlineLevel="0" collapsed="false">
      <c r="A8" s="27" t="s">
        <v>193</v>
      </c>
    </row>
    <row r="9" customFormat="false" ht="39.75" hidden="false" customHeight="true" outlineLevel="0" collapsed="false">
      <c r="A9" s="27" t="s">
        <v>194</v>
      </c>
    </row>
    <row r="10" customFormat="false" ht="39.75" hidden="false" customHeight="true" outlineLevel="0" collapsed="false">
      <c r="A10" s="27" t="s">
        <v>195</v>
      </c>
    </row>
    <row r="11" customFormat="false" ht="39.75" hidden="false" customHeight="true" outlineLevel="0" collapsed="false">
      <c r="A11" s="27" t="s">
        <v>196</v>
      </c>
    </row>
    <row r="12" customFormat="false" ht="39.75" hidden="false" customHeight="true" outlineLevel="0" collapsed="false">
      <c r="A12" s="27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2026-06-16T02:45:39Z</dcterms:created>
  <dc:creator>openpyxl</dc:creator>
  <dc:description/>
  <dc:language>en-US</dc:language>
  <cp:lastModifiedBy/>
  <dcterms:modified xsi:type="dcterms:W3CDTF">2026-06-16T02:45:39Z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